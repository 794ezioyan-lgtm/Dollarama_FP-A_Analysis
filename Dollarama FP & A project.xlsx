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7AEC4AC-BB06-4250-9AEB-57231B0E6268}" xr6:coauthVersionLast="47" xr6:coauthVersionMax="47" xr10:uidLastSave="{00000000-0000-0000-0000-000000000000}"/>
  <bookViews>
    <workbookView xWindow="-108" yWindow="-108" windowWidth="23256" windowHeight="12576" tabRatio="848" firstSheet="6" activeTab="13" xr2:uid="{8D081014-4C8E-40B2-BB07-6796757B13DB}"/>
  </bookViews>
  <sheets>
    <sheet name="Executive Summary" sheetId="1" r:id="rId1"/>
    <sheet name="Historical &amp; Assumptions" sheetId="2" r:id="rId2"/>
    <sheet name="Operating Drivers" sheetId="3" r:id="rId3"/>
    <sheet name="Revenue" sheetId="4" r:id="rId4"/>
    <sheet name="Operating Model" sheetId="5" r:id="rId5"/>
    <sheet name="PP&amp;E &amp; Capex" sheetId="6" r:id="rId6"/>
    <sheet name="Working Capital &amp; Financing" sheetId="7" r:id="rId7"/>
    <sheet name="P &amp; L" sheetId="8" r:id="rId8"/>
    <sheet name="Balance Sheet" sheetId="14" r:id="rId9"/>
    <sheet name="Cash Flow Statement" sheetId="15" r:id="rId10"/>
    <sheet name="Budget &amp; Reforecast" sheetId="9" r:id="rId11"/>
    <sheet name="Variance &amp; PVM" sheetId="10" r:id="rId12"/>
    <sheet name="Scenario &amp; Sensitivity " sheetId="16" r:id="rId13"/>
    <sheet name="DCF Valuation" sheetId="12" r:id="rId14"/>
    <sheet name="Dashboard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9" i="3" l="1"/>
  <c r="B33" i="3"/>
  <c r="C33" i="3"/>
  <c r="D33" i="3"/>
  <c r="E33" i="3"/>
  <c r="B34" i="3"/>
  <c r="C34" i="3"/>
  <c r="D34" i="3"/>
  <c r="F34" i="3"/>
  <c r="G34" i="3"/>
  <c r="H34" i="3"/>
  <c r="I34" i="3"/>
  <c r="B35" i="3"/>
  <c r="C35" i="3"/>
  <c r="D35" i="3"/>
  <c r="E35" i="3"/>
  <c r="F35" i="3"/>
  <c r="G35" i="3"/>
  <c r="H35" i="3"/>
  <c r="I35" i="3"/>
  <c r="I12" i="16"/>
  <c r="J12" i="16"/>
  <c r="K12" i="16"/>
  <c r="H12" i="16"/>
  <c r="C5" i="12"/>
  <c r="D5" i="12"/>
  <c r="E5" i="12"/>
  <c r="C13" i="12"/>
  <c r="C14" i="12" s="1"/>
  <c r="D13" i="12"/>
  <c r="D14" i="12" s="1"/>
  <c r="E13" i="12"/>
  <c r="E14" i="12" s="1"/>
  <c r="B14" i="12"/>
  <c r="B27" i="12"/>
  <c r="B28" i="12"/>
  <c r="B29" i="12"/>
  <c r="B42" i="12"/>
  <c r="I19" i="16"/>
  <c r="I23" i="16" s="1"/>
  <c r="J19" i="16"/>
  <c r="K19" i="16"/>
  <c r="I18" i="16"/>
  <c r="I14" i="16" s="1"/>
  <c r="J18" i="16"/>
  <c r="K18" i="16"/>
  <c r="K14" i="16" s="1"/>
  <c r="G23" i="16"/>
  <c r="G22" i="16"/>
  <c r="G21" i="16"/>
  <c r="F33" i="3" l="1"/>
  <c r="G33" i="3" s="1"/>
  <c r="I15" i="16"/>
  <c r="J15" i="16"/>
  <c r="D15" i="16" s="1"/>
  <c r="J23" i="16"/>
  <c r="K23" i="16"/>
  <c r="C15" i="16"/>
  <c r="K15" i="16"/>
  <c r="E15" i="16" s="1"/>
  <c r="J22" i="16"/>
  <c r="C14" i="16"/>
  <c r="J14" i="16"/>
  <c r="D14" i="16" s="1"/>
  <c r="I22" i="16"/>
  <c r="E14" i="16"/>
  <c r="K22" i="16"/>
  <c r="H33" i="3" l="1"/>
  <c r="C7" i="10"/>
  <c r="E5" i="10"/>
  <c r="E6" i="10"/>
  <c r="E4" i="10"/>
  <c r="E8" i="9"/>
  <c r="F8" i="9"/>
  <c r="D8" i="9"/>
  <c r="B11" i="9"/>
  <c r="B9" i="9"/>
  <c r="C9" i="9" s="1"/>
  <c r="H19" i="16" s="1"/>
  <c r="B8" i="9"/>
  <c r="C4" i="14"/>
  <c r="C22" i="15" s="1"/>
  <c r="D21" i="15" s="1"/>
  <c r="D4" i="14"/>
  <c r="D22" i="15" s="1"/>
  <c r="E21" i="15" s="1"/>
  <c r="E4" i="14"/>
  <c r="E22" i="15" s="1"/>
  <c r="F21" i="15" s="1"/>
  <c r="B4" i="14"/>
  <c r="B22" i="15" s="1"/>
  <c r="C21" i="15" s="1"/>
  <c r="B16" i="15" a="1"/>
  <c r="B16" i="15" s="1"/>
  <c r="C15" i="15"/>
  <c r="D15" i="15"/>
  <c r="E15" i="15"/>
  <c r="F15" i="15" s="1"/>
  <c r="G15" i="15" s="1"/>
  <c r="H15" i="15" s="1"/>
  <c r="I15" i="15" s="1"/>
  <c r="B15" i="15"/>
  <c r="C8" i="15"/>
  <c r="D8" i="15"/>
  <c r="E8" i="15"/>
  <c r="B8" i="15"/>
  <c r="C6" i="15"/>
  <c r="D6" i="15"/>
  <c r="E6" i="15"/>
  <c r="B6" i="15"/>
  <c r="F16" i="14"/>
  <c r="G16" i="14" s="1"/>
  <c r="H16" i="14" s="1"/>
  <c r="I16" i="14" s="1"/>
  <c r="F7" i="14"/>
  <c r="G7" i="14" s="1"/>
  <c r="H7" i="14" s="1"/>
  <c r="I7" i="14" s="1"/>
  <c r="C19" i="14"/>
  <c r="D19" i="14"/>
  <c r="E19" i="14"/>
  <c r="B19" i="14"/>
  <c r="C9" i="14"/>
  <c r="D9" i="14"/>
  <c r="E9" i="14"/>
  <c r="F9" i="14" s="1"/>
  <c r="G9" i="14" s="1"/>
  <c r="H9" i="14" s="1"/>
  <c r="I9" i="14" s="1"/>
  <c r="C10" i="14"/>
  <c r="D10" i="14"/>
  <c r="E10" i="14"/>
  <c r="F10" i="14" s="1"/>
  <c r="G10" i="14" s="1"/>
  <c r="H10" i="14" s="1"/>
  <c r="I10" i="14" s="1"/>
  <c r="B10" i="14"/>
  <c r="B9" i="14"/>
  <c r="C15" i="8"/>
  <c r="D15" i="8"/>
  <c r="E15" i="8"/>
  <c r="B15" i="8"/>
  <c r="F7" i="8"/>
  <c r="G7" i="8"/>
  <c r="H7" i="8"/>
  <c r="I7" i="8"/>
  <c r="C6" i="8"/>
  <c r="D6" i="8"/>
  <c r="E6" i="8"/>
  <c r="B6" i="8"/>
  <c r="C5" i="8"/>
  <c r="D5" i="8"/>
  <c r="E5" i="8"/>
  <c r="B5" i="8"/>
  <c r="C19" i="7"/>
  <c r="D19" i="7"/>
  <c r="E19" i="7"/>
  <c r="C20" i="7"/>
  <c r="D20" i="7"/>
  <c r="D14" i="14" s="1"/>
  <c r="E20" i="7"/>
  <c r="F20" i="7" s="1"/>
  <c r="G20" i="7" s="1"/>
  <c r="H20" i="7" s="1"/>
  <c r="I20" i="7" s="1"/>
  <c r="I14" i="15" s="1"/>
  <c r="C21" i="7"/>
  <c r="D21" i="7"/>
  <c r="E21" i="7"/>
  <c r="F21" i="7" s="1"/>
  <c r="G21" i="7" s="1"/>
  <c r="H21" i="7" s="1"/>
  <c r="I21" i="7" s="1"/>
  <c r="C23" i="7"/>
  <c r="C11" i="15" s="1"/>
  <c r="D23" i="7"/>
  <c r="D11" i="15" s="1"/>
  <c r="E23" i="7"/>
  <c r="F23" i="7" s="1"/>
  <c r="B23" i="7"/>
  <c r="B11" i="15" s="1"/>
  <c r="B21" i="7"/>
  <c r="B20" i="7"/>
  <c r="B14" i="14" s="1"/>
  <c r="B19" i="7"/>
  <c r="F16" i="7"/>
  <c r="G16" i="7"/>
  <c r="H16" i="7"/>
  <c r="I16" i="7"/>
  <c r="C7" i="7" a="1"/>
  <c r="C7" i="7" s="1"/>
  <c r="C5" i="14" s="1"/>
  <c r="D7" i="7" a="1"/>
  <c r="D7" i="7" s="1"/>
  <c r="D5" i="14" s="1"/>
  <c r="E7" i="7" a="1"/>
  <c r="E7" i="7" s="1"/>
  <c r="E10" i="7" s="1"/>
  <c r="B7" i="7" a="1"/>
  <c r="B7" i="7" s="1"/>
  <c r="B10" i="7" s="1"/>
  <c r="C12" i="6"/>
  <c r="D12" i="6"/>
  <c r="E12" i="6"/>
  <c r="B12" i="6"/>
  <c r="C11" i="6"/>
  <c r="D11" i="6"/>
  <c r="E11" i="6"/>
  <c r="B11" i="6"/>
  <c r="C17" i="6"/>
  <c r="D17" i="6"/>
  <c r="E17" i="6"/>
  <c r="B17" i="6"/>
  <c r="C14" i="6"/>
  <c r="D10" i="6" s="1"/>
  <c r="D14" i="6"/>
  <c r="E10" i="6" s="1"/>
  <c r="E14" i="6"/>
  <c r="F10" i="6" s="1"/>
  <c r="F12" i="6" s="1"/>
  <c r="B14" i="6"/>
  <c r="C10" i="6" s="1"/>
  <c r="C6" i="6"/>
  <c r="C10" i="15" s="1"/>
  <c r="C12" i="15" s="1"/>
  <c r="D6" i="6"/>
  <c r="E6" i="6"/>
  <c r="C5" i="6"/>
  <c r="D5" i="6"/>
  <c r="E5" i="6"/>
  <c r="B6" i="6"/>
  <c r="B5" i="6"/>
  <c r="G8" i="2"/>
  <c r="H8" i="2"/>
  <c r="I8" i="2"/>
  <c r="G10" i="2"/>
  <c r="H10" i="2"/>
  <c r="I10" i="2"/>
  <c r="F10" i="2"/>
  <c r="F8" i="2"/>
  <c r="C12" i="2"/>
  <c r="C18" i="6" s="1"/>
  <c r="D12" i="2"/>
  <c r="D18" i="6" s="1"/>
  <c r="E12" i="2"/>
  <c r="E14" i="5" s="1"/>
  <c r="B12" i="2"/>
  <c r="B14" i="5" s="1"/>
  <c r="C13" i="5"/>
  <c r="C11" i="8" s="1"/>
  <c r="D13" i="5"/>
  <c r="D11" i="8" s="1"/>
  <c r="E13" i="5"/>
  <c r="E11" i="8" s="1"/>
  <c r="B13" i="5"/>
  <c r="B11" i="8" s="1"/>
  <c r="C9" i="5"/>
  <c r="D9" i="5"/>
  <c r="E9" i="5"/>
  <c r="B9" i="5"/>
  <c r="C4" i="5"/>
  <c r="D4" i="5"/>
  <c r="E4" i="5"/>
  <c r="B4" i="5"/>
  <c r="B46" i="3"/>
  <c r="C46" i="3"/>
  <c r="D46" i="3"/>
  <c r="E46" i="3"/>
  <c r="B47" i="3"/>
  <c r="B21" i="4" s="1"/>
  <c r="B5" i="5" s="1"/>
  <c r="E13" i="4"/>
  <c r="E14" i="4"/>
  <c r="F14" i="4"/>
  <c r="G14" i="4"/>
  <c r="H14" i="4"/>
  <c r="I14" i="4"/>
  <c r="E15" i="4"/>
  <c r="F15" i="4"/>
  <c r="G15" i="4"/>
  <c r="H15" i="4"/>
  <c r="I15" i="4"/>
  <c r="E9" i="4"/>
  <c r="C7" i="4"/>
  <c r="D7" i="4"/>
  <c r="E7" i="4"/>
  <c r="F7" i="4"/>
  <c r="G7" i="4"/>
  <c r="H7" i="4"/>
  <c r="I7" i="4"/>
  <c r="F8" i="4"/>
  <c r="G8" i="4"/>
  <c r="H8" i="4"/>
  <c r="I8" i="4"/>
  <c r="B7" i="4"/>
  <c r="C6" i="4"/>
  <c r="D6" i="4"/>
  <c r="E6" i="4"/>
  <c r="F6" i="4"/>
  <c r="G6" i="4"/>
  <c r="H6" i="4"/>
  <c r="I6" i="4"/>
  <c r="B6" i="4"/>
  <c r="B5" i="4"/>
  <c r="F40" i="3"/>
  <c r="F42" i="3" s="1"/>
  <c r="G36" i="3"/>
  <c r="H36" i="3"/>
  <c r="I36" i="3"/>
  <c r="F36" i="3"/>
  <c r="G9" i="4"/>
  <c r="H9" i="4"/>
  <c r="I9" i="4"/>
  <c r="F9" i="4"/>
  <c r="C36" i="3"/>
  <c r="D36" i="3"/>
  <c r="E36" i="3"/>
  <c r="B36" i="3"/>
  <c r="E37" i="3"/>
  <c r="E8" i="4" s="1"/>
  <c r="B9" i="4"/>
  <c r="C10" i="4"/>
  <c r="D10" i="4"/>
  <c r="B10" i="4"/>
  <c r="B6" i="3"/>
  <c r="C4" i="3"/>
  <c r="C29" i="3" s="1"/>
  <c r="C30" i="3" s="1"/>
  <c r="C8" i="2"/>
  <c r="C8" i="5" s="1"/>
  <c r="C7" i="8" s="1"/>
  <c r="D8" i="2"/>
  <c r="D8" i="5" s="1"/>
  <c r="D7" i="8" s="1"/>
  <c r="E8" i="2"/>
  <c r="E8" i="5" s="1"/>
  <c r="E7" i="8" s="1"/>
  <c r="C10" i="2"/>
  <c r="C10" i="5" s="1"/>
  <c r="D10" i="2"/>
  <c r="D10" i="5" s="1"/>
  <c r="E10" i="2"/>
  <c r="E10" i="5" s="1"/>
  <c r="C14" i="2"/>
  <c r="C12" i="5" s="1"/>
  <c r="D14" i="2"/>
  <c r="D12" i="5" s="1"/>
  <c r="E14" i="2"/>
  <c r="E12" i="5" s="1"/>
  <c r="C5" i="2"/>
  <c r="C47" i="3" s="1"/>
  <c r="C21" i="4" s="1"/>
  <c r="C5" i="5" s="1"/>
  <c r="D5" i="2"/>
  <c r="E5" i="2"/>
  <c r="E47" i="3" s="1"/>
  <c r="E21" i="4" s="1"/>
  <c r="E5" i="5" s="1"/>
  <c r="B10" i="2"/>
  <c r="B10" i="5" s="1"/>
  <c r="B14" i="2"/>
  <c r="B12" i="5" s="1"/>
  <c r="B8" i="2"/>
  <c r="B8" i="5" s="1"/>
  <c r="B7" i="8" s="1"/>
  <c r="B19" i="4" l="1" a="1"/>
  <c r="B19" i="4" s="1"/>
  <c r="I33" i="3"/>
  <c r="E7" i="10"/>
  <c r="F10" i="4"/>
  <c r="E10" i="4"/>
  <c r="G40" i="3"/>
  <c r="F13" i="4"/>
  <c r="C5" i="4"/>
  <c r="B7" i="6"/>
  <c r="G23" i="7"/>
  <c r="G13" i="8" s="1"/>
  <c r="F17" i="2"/>
  <c r="G14" i="15"/>
  <c r="B22" i="7"/>
  <c r="B15" i="14" a="1"/>
  <c r="B15" i="14" s="1"/>
  <c r="E22" i="7"/>
  <c r="B5" i="14"/>
  <c r="C22" i="7"/>
  <c r="B6" i="14"/>
  <c r="E7" i="6"/>
  <c r="D13" i="8"/>
  <c r="B8" i="14"/>
  <c r="C13" i="8"/>
  <c r="H23" i="16"/>
  <c r="H15" i="16"/>
  <c r="B15" i="16" s="1"/>
  <c r="B13" i="14"/>
  <c r="D7" i="6"/>
  <c r="B13" i="8"/>
  <c r="E8" i="14"/>
  <c r="I14" i="14"/>
  <c r="E14" i="15"/>
  <c r="F14" i="15"/>
  <c r="C14" i="5"/>
  <c r="C7" i="6"/>
  <c r="D22" i="7"/>
  <c r="D8" i="14"/>
  <c r="H14" i="14"/>
  <c r="B8" i="8"/>
  <c r="B9" i="8" s="1"/>
  <c r="B11" i="5"/>
  <c r="B13" i="6"/>
  <c r="B21" i="6" s="1"/>
  <c r="C8" i="14"/>
  <c r="G14" i="14"/>
  <c r="B10" i="15"/>
  <c r="B12" i="15" s="1"/>
  <c r="D14" i="15"/>
  <c r="E11" i="15"/>
  <c r="F14" i="14"/>
  <c r="E10" i="15"/>
  <c r="E12" i="15" s="1"/>
  <c r="B17" i="15" a="1"/>
  <c r="B17" i="15" s="1"/>
  <c r="B18" i="15" s="1"/>
  <c r="D8" i="8"/>
  <c r="D9" i="8" s="1"/>
  <c r="D11" i="5"/>
  <c r="D15" i="5" s="1"/>
  <c r="D13" i="6"/>
  <c r="D21" i="6" s="1"/>
  <c r="F13" i="8"/>
  <c r="E5" i="14"/>
  <c r="E6" i="14"/>
  <c r="E13" i="14"/>
  <c r="E14" i="14"/>
  <c r="D10" i="15"/>
  <c r="D12" i="15" s="1"/>
  <c r="C14" i="15"/>
  <c r="E8" i="8"/>
  <c r="E9" i="8" s="1"/>
  <c r="E11" i="5"/>
  <c r="E15" i="5" s="1"/>
  <c r="E13" i="6"/>
  <c r="E21" i="6" s="1"/>
  <c r="C8" i="8"/>
  <c r="C9" i="8" s="1"/>
  <c r="C11" i="5"/>
  <c r="C15" i="5" s="1"/>
  <c r="C13" i="6"/>
  <c r="C21" i="6" s="1"/>
  <c r="E13" i="8"/>
  <c r="D6" i="14"/>
  <c r="D13" i="14"/>
  <c r="C6" i="14"/>
  <c r="C13" i="14"/>
  <c r="C14" i="14"/>
  <c r="H14" i="15"/>
  <c r="D10" i="7"/>
  <c r="C10" i="7"/>
  <c r="D14" i="5"/>
  <c r="B18" i="6"/>
  <c r="E18" i="6"/>
  <c r="B37" i="3"/>
  <c r="B8" i="4" s="1"/>
  <c r="D9" i="4"/>
  <c r="D37" i="3"/>
  <c r="D8" i="4" s="1"/>
  <c r="D47" i="3"/>
  <c r="D21" i="4" s="1"/>
  <c r="D5" i="5" s="1"/>
  <c r="D4" i="3"/>
  <c r="C6" i="3"/>
  <c r="D5" i="4" l="1"/>
  <c r="D29" i="3"/>
  <c r="F46" i="3"/>
  <c r="F47" i="3" s="1"/>
  <c r="F21" i="4" s="1"/>
  <c r="F5" i="5" s="1"/>
  <c r="B5" i="9" s="1"/>
  <c r="C5" i="9" s="1"/>
  <c r="C4" i="9" s="1"/>
  <c r="G6" i="10" s="1"/>
  <c r="D6" i="10" s="1"/>
  <c r="H40" i="3"/>
  <c r="G42" i="3"/>
  <c r="G13" i="4"/>
  <c r="F14" i="5"/>
  <c r="C17" i="5"/>
  <c r="C19" i="5" s="1"/>
  <c r="C15" i="2"/>
  <c r="C16" i="2" s="1"/>
  <c r="C16" i="5" s="1"/>
  <c r="E17" i="5"/>
  <c r="E19" i="5" s="1"/>
  <c r="E15" i="2"/>
  <c r="E16" i="2" s="1"/>
  <c r="E16" i="5" s="1"/>
  <c r="D17" i="5"/>
  <c r="D19" i="5" s="1"/>
  <c r="D15" i="2"/>
  <c r="D16" i="2" s="1"/>
  <c r="D16" i="5" s="1"/>
  <c r="H23" i="7"/>
  <c r="G17" i="2"/>
  <c r="D11" i="14"/>
  <c r="E18" i="15"/>
  <c r="E20" i="15" s="1"/>
  <c r="C11" i="14"/>
  <c r="C18" i="15"/>
  <c r="C20" i="15" s="1"/>
  <c r="D17" i="14"/>
  <c r="D20" i="14" s="1"/>
  <c r="B20" i="15"/>
  <c r="B11" i="14"/>
  <c r="B17" i="14"/>
  <c r="B20" i="14" s="1"/>
  <c r="E11" i="14"/>
  <c r="B15" i="5"/>
  <c r="C17" i="14"/>
  <c r="C20" i="14" s="1"/>
  <c r="E17" i="14"/>
  <c r="E20" i="14" s="1"/>
  <c r="D18" i="15"/>
  <c r="D20" i="15" s="1"/>
  <c r="E12" i="8"/>
  <c r="E14" i="8" s="1"/>
  <c r="E16" i="8" s="1"/>
  <c r="B12" i="8"/>
  <c r="B14" i="8" s="1"/>
  <c r="B16" i="8" s="1"/>
  <c r="C12" i="8"/>
  <c r="C14" i="8" s="1"/>
  <c r="C16" i="8" s="1"/>
  <c r="D12" i="8"/>
  <c r="D14" i="8" s="1"/>
  <c r="D16" i="8" s="1"/>
  <c r="C37" i="3"/>
  <c r="C8" i="4" s="1"/>
  <c r="C9" i="4"/>
  <c r="E4" i="3"/>
  <c r="D6" i="3"/>
  <c r="D30" i="3" l="1"/>
  <c r="E30" i="3"/>
  <c r="G46" i="3"/>
  <c r="G47" i="3" s="1"/>
  <c r="G21" i="4" s="1"/>
  <c r="G5" i="5" s="1"/>
  <c r="G10" i="4"/>
  <c r="D4" i="9"/>
  <c r="I17" i="16" s="1"/>
  <c r="I21" i="16" s="1"/>
  <c r="B21" i="10"/>
  <c r="H17" i="16"/>
  <c r="H21" i="16" s="1"/>
  <c r="G4" i="10"/>
  <c r="D4" i="10" s="1"/>
  <c r="G5" i="10"/>
  <c r="D5" i="10" s="1"/>
  <c r="G7" i="10"/>
  <c r="H10" i="4"/>
  <c r="H46" i="3"/>
  <c r="E6" i="3"/>
  <c r="F4" i="3"/>
  <c r="F29" i="3" s="1"/>
  <c r="F30" i="3" s="1"/>
  <c r="E5" i="4"/>
  <c r="I40" i="3"/>
  <c r="H42" i="3"/>
  <c r="H13" i="4"/>
  <c r="I23" i="7"/>
  <c r="H17" i="2"/>
  <c r="H13" i="8"/>
  <c r="D21" i="14"/>
  <c r="B17" i="5"/>
  <c r="B19" i="5" s="1"/>
  <c r="B15" i="2"/>
  <c r="B16" i="2" s="1"/>
  <c r="B16" i="5" s="1"/>
  <c r="E21" i="14"/>
  <c r="B21" i="14"/>
  <c r="C21" i="14"/>
  <c r="H47" i="3" l="1"/>
  <c r="H21" i="4" s="1"/>
  <c r="H5" i="5" s="1"/>
  <c r="B11" i="10" a="1"/>
  <c r="B11" i="10" s="1"/>
  <c r="D6" i="9"/>
  <c r="E4" i="9"/>
  <c r="J17" i="16" s="1"/>
  <c r="J21" i="16" s="1"/>
  <c r="D7" i="10"/>
  <c r="H13" i="16"/>
  <c r="B13" i="16" s="1"/>
  <c r="B18" i="16" s="1"/>
  <c r="I13" i="16"/>
  <c r="C13" i="16" s="1"/>
  <c r="C18" i="16" s="1"/>
  <c r="D10" i="9"/>
  <c r="I13" i="4"/>
  <c r="I42" i="3"/>
  <c r="I46" i="3"/>
  <c r="I47" i="3" s="1"/>
  <c r="I21" i="4" s="1"/>
  <c r="I5" i="5" s="1"/>
  <c r="I10" i="4"/>
  <c r="B18" i="4" s="1" a="1"/>
  <c r="F6" i="3"/>
  <c r="G4" i="3"/>
  <c r="G29" i="3" s="1"/>
  <c r="G30" i="3" s="1"/>
  <c r="F5" i="4"/>
  <c r="I13" i="8"/>
  <c r="I17" i="2"/>
  <c r="E6" i="9" l="1"/>
  <c r="E10" i="9"/>
  <c r="E12" i="9" s="1"/>
  <c r="D4" i="12" s="1"/>
  <c r="D6" i="12" s="1"/>
  <c r="J13" i="16"/>
  <c r="D13" i="16" s="1"/>
  <c r="D18" i="16" s="1"/>
  <c r="F4" i="9"/>
  <c r="K17" i="16" s="1"/>
  <c r="K13" i="16" s="1"/>
  <c r="E13" i="16" s="1"/>
  <c r="E16" i="16" s="1"/>
  <c r="E17" i="16" s="1"/>
  <c r="C16" i="16"/>
  <c r="C17" i="16" s="1"/>
  <c r="C19" i="16" s="1"/>
  <c r="D12" i="9"/>
  <c r="D11" i="9"/>
  <c r="B18" i="4"/>
  <c r="B20" i="4" s="1"/>
  <c r="B4" i="8" s="1"/>
  <c r="D20" i="4"/>
  <c r="D4" i="8" s="1"/>
  <c r="E20" i="4"/>
  <c r="E4" i="8" s="1"/>
  <c r="F20" i="4"/>
  <c r="G20" i="4"/>
  <c r="H20" i="4"/>
  <c r="I20" i="4"/>
  <c r="C20" i="4"/>
  <c r="C4" i="8" s="1"/>
  <c r="H4" i="3"/>
  <c r="H29" i="3" s="1"/>
  <c r="H30" i="3" s="1"/>
  <c r="G6" i="3"/>
  <c r="G5" i="4"/>
  <c r="K21" i="16" l="1"/>
  <c r="E18" i="16"/>
  <c r="E19" i="16" s="1"/>
  <c r="F6" i="9"/>
  <c r="D16" i="16"/>
  <c r="D17" i="16" s="1"/>
  <c r="D19" i="16" s="1"/>
  <c r="E11" i="9"/>
  <c r="E13" i="9"/>
  <c r="E14" i="9" s="1"/>
  <c r="F10" i="9"/>
  <c r="F12" i="9" s="1"/>
  <c r="E7" i="12" s="1"/>
  <c r="D7" i="12"/>
  <c r="C21" i="16"/>
  <c r="C7" i="12"/>
  <c r="C4" i="12"/>
  <c r="C6" i="12" s="1"/>
  <c r="D13" i="9"/>
  <c r="D14" i="9" s="1"/>
  <c r="C10" i="8"/>
  <c r="C17" i="8"/>
  <c r="I4" i="5"/>
  <c r="I4" i="8"/>
  <c r="G4" i="8"/>
  <c r="G4" i="5"/>
  <c r="F4" i="5"/>
  <c r="F4" i="8"/>
  <c r="E10" i="8"/>
  <c r="E17" i="8"/>
  <c r="D10" i="8"/>
  <c r="D17" i="8"/>
  <c r="H4" i="5"/>
  <c r="H4" i="8"/>
  <c r="I4" i="3"/>
  <c r="I29" i="3" s="1"/>
  <c r="I30" i="3" s="1"/>
  <c r="H6" i="3"/>
  <c r="H5" i="4"/>
  <c r="B10" i="8"/>
  <c r="B17" i="8"/>
  <c r="C20" i="16"/>
  <c r="E4" i="12" l="1"/>
  <c r="E6" i="12" s="1"/>
  <c r="F13" i="9"/>
  <c r="F14" i="9" s="1"/>
  <c r="E21" i="16"/>
  <c r="F11" i="9"/>
  <c r="C22" i="16"/>
  <c r="C23" i="16" s="1"/>
  <c r="B4" i="9"/>
  <c r="F7" i="5"/>
  <c r="F6" i="5" s="1"/>
  <c r="F4" i="2" a="1"/>
  <c r="F4" i="2" s="1"/>
  <c r="F9" i="5"/>
  <c r="F11" i="5"/>
  <c r="F13" i="5"/>
  <c r="H11" i="5"/>
  <c r="H13" i="2" s="1" a="1"/>
  <c r="H13" i="2" s="1"/>
  <c r="H7" i="5"/>
  <c r="H6" i="5" s="1"/>
  <c r="H9" i="5"/>
  <c r="H13" i="5"/>
  <c r="H4" i="2" a="1"/>
  <c r="H4" i="2" s="1"/>
  <c r="H5" i="6" s="1"/>
  <c r="H6" i="6" s="1"/>
  <c r="I11" i="5"/>
  <c r="I9" i="5"/>
  <c r="I7" i="5"/>
  <c r="I13" i="5"/>
  <c r="I4" i="2" a="1"/>
  <c r="I4" i="2" s="1"/>
  <c r="I5" i="6" s="1"/>
  <c r="I6" i="6" s="1"/>
  <c r="G11" i="5"/>
  <c r="G13" i="2" s="1" a="1"/>
  <c r="G13" i="2" s="1"/>
  <c r="G4" i="2" a="1"/>
  <c r="G4" i="2" s="1"/>
  <c r="G5" i="6" s="1"/>
  <c r="G6" i="6" s="1"/>
  <c r="G13" i="5"/>
  <c r="G7" i="5"/>
  <c r="G9" i="5"/>
  <c r="I5" i="4"/>
  <c r="I6" i="3"/>
  <c r="E20" i="16"/>
  <c r="D21" i="16"/>
  <c r="D22" i="16" s="1"/>
  <c r="D23" i="16" s="1"/>
  <c r="D20" i="16"/>
  <c r="E22" i="16" l="1"/>
  <c r="E23" i="16" s="1"/>
  <c r="B6" i="9"/>
  <c r="B7" i="9" s="1"/>
  <c r="C7" i="9" s="1"/>
  <c r="F5" i="8"/>
  <c r="F6" i="2"/>
  <c r="G9" i="2"/>
  <c r="G8" i="8"/>
  <c r="I6" i="8"/>
  <c r="I7" i="2"/>
  <c r="G6" i="8"/>
  <c r="G7" i="2"/>
  <c r="I9" i="2"/>
  <c r="I8" i="8"/>
  <c r="F11" i="8"/>
  <c r="F11" i="2" a="1"/>
  <c r="H5" i="8"/>
  <c r="H6" i="2"/>
  <c r="H11" i="6"/>
  <c r="H10" i="15"/>
  <c r="H12" i="15" s="1"/>
  <c r="D8" i="12"/>
  <c r="F8" i="8"/>
  <c r="F9" i="2"/>
  <c r="I13" i="2" a="1"/>
  <c r="I13" i="2" s="1"/>
  <c r="I15" i="5"/>
  <c r="G10" i="15"/>
  <c r="G12" i="15" s="1"/>
  <c r="G11" i="6"/>
  <c r="C8" i="12"/>
  <c r="F13" i="2" a="1"/>
  <c r="F13" i="2" s="1"/>
  <c r="F15" i="5"/>
  <c r="B10" i="9"/>
  <c r="B18" i="10" s="1"/>
  <c r="I6" i="5"/>
  <c r="H15" i="5"/>
  <c r="H11" i="8"/>
  <c r="H11" i="2" a="1"/>
  <c r="F5" i="6"/>
  <c r="F6" i="6" s="1"/>
  <c r="B5" i="7" a="1"/>
  <c r="G15" i="5"/>
  <c r="G11" i="8"/>
  <c r="G11" i="2" a="1"/>
  <c r="I11" i="6"/>
  <c r="I10" i="15"/>
  <c r="I12" i="15" s="1"/>
  <c r="E8" i="12"/>
  <c r="H8" i="8"/>
  <c r="H9" i="2"/>
  <c r="F6" i="8"/>
  <c r="F9" i="8" s="1"/>
  <c r="F7" i="2"/>
  <c r="G6" i="5"/>
  <c r="I11" i="8"/>
  <c r="I11" i="2" a="1"/>
  <c r="H6" i="8"/>
  <c r="H7" i="2"/>
  <c r="F6" i="10"/>
  <c r="B6" i="10" s="1"/>
  <c r="F4" i="10"/>
  <c r="B4" i="10" s="1"/>
  <c r="F5" i="10"/>
  <c r="B5" i="10" s="1"/>
  <c r="F7" i="10"/>
  <c r="B10" i="10"/>
  <c r="B19" i="10"/>
  <c r="B17" i="9"/>
  <c r="B18" i="9" s="1"/>
  <c r="H9" i="8" l="1"/>
  <c r="H12" i="8" s="1"/>
  <c r="H14" i="8" s="1"/>
  <c r="H15" i="8" s="1"/>
  <c r="H16" i="8" s="1"/>
  <c r="H17" i="8" s="1"/>
  <c r="I9" i="8"/>
  <c r="I10" i="8" s="1"/>
  <c r="H11" i="2"/>
  <c r="H17" i="6" s="1"/>
  <c r="H18" i="6"/>
  <c r="I11" i="2"/>
  <c r="I17" i="6" s="1"/>
  <c r="I18" i="6"/>
  <c r="G11" i="2"/>
  <c r="G17" i="6" s="1"/>
  <c r="G18" i="6"/>
  <c r="G5" i="8"/>
  <c r="G6" i="2"/>
  <c r="I5" i="8"/>
  <c r="I6" i="2"/>
  <c r="G9" i="8"/>
  <c r="B7" i="10"/>
  <c r="B12" i="10" s="1"/>
  <c r="F10" i="8"/>
  <c r="F12" i="8"/>
  <c r="F14" i="8" s="1"/>
  <c r="F15" i="8" s="1"/>
  <c r="F16" i="8" s="1"/>
  <c r="G17" i="5"/>
  <c r="G19" i="5" s="1"/>
  <c r="G15" i="2" a="1"/>
  <c r="G15" i="2" s="1"/>
  <c r="F17" i="5"/>
  <c r="F19" i="5" s="1"/>
  <c r="B12" i="9"/>
  <c r="F15" i="2" a="1"/>
  <c r="F15" i="2" s="1"/>
  <c r="I17" i="5"/>
  <c r="I19" i="5" s="1"/>
  <c r="I15" i="2" a="1"/>
  <c r="I15" i="2" s="1"/>
  <c r="B5" i="15" a="1"/>
  <c r="B5" i="15" s="1"/>
  <c r="F7" i="7"/>
  <c r="F5" i="14" s="1"/>
  <c r="H7" i="7"/>
  <c r="B5" i="7"/>
  <c r="B13" i="7" s="1"/>
  <c r="I7" i="7"/>
  <c r="E13" i="7"/>
  <c r="G7" i="7"/>
  <c r="G5" i="14" s="1"/>
  <c r="D13" i="7"/>
  <c r="C13" i="7"/>
  <c r="H17" i="5"/>
  <c r="H19" i="5" s="1"/>
  <c r="H15" i="2" a="1"/>
  <c r="H15" i="2" s="1"/>
  <c r="F18" i="6"/>
  <c r="F11" i="2"/>
  <c r="F17" i="6" s="1"/>
  <c r="F11" i="6"/>
  <c r="F14" i="6" s="1"/>
  <c r="B8" i="12"/>
  <c r="F10" i="15"/>
  <c r="F12" i="15" s="1"/>
  <c r="F28" i="16"/>
  <c r="F31" i="16"/>
  <c r="B28" i="16"/>
  <c r="F32" i="16"/>
  <c r="D31" i="16"/>
  <c r="E29" i="16"/>
  <c r="F29" i="16"/>
  <c r="C31" i="16"/>
  <c r="C8" i="9"/>
  <c r="C10" i="9" s="1"/>
  <c r="C29" i="16"/>
  <c r="B32" i="16"/>
  <c r="C32" i="16"/>
  <c r="B29" i="16"/>
  <c r="C6" i="9"/>
  <c r="H18" i="16"/>
  <c r="D29" i="16"/>
  <c r="B31" i="16"/>
  <c r="D30" i="16"/>
  <c r="E32" i="16"/>
  <c r="E28" i="16"/>
  <c r="E31" i="16"/>
  <c r="F30" i="16"/>
  <c r="D28" i="16"/>
  <c r="C30" i="16"/>
  <c r="C28" i="16"/>
  <c r="E30" i="16"/>
  <c r="B30" i="16"/>
  <c r="B20" i="10"/>
  <c r="B22" i="10" s="1"/>
  <c r="D32" i="16"/>
  <c r="B6" i="7" l="1" a="1"/>
  <c r="D14" i="7" s="1"/>
  <c r="B23" i="10"/>
  <c r="H10" i="8"/>
  <c r="I12" i="8"/>
  <c r="I14" i="8" s="1"/>
  <c r="I15" i="8" s="1"/>
  <c r="I16" i="8" s="1"/>
  <c r="I17" i="8" s="1"/>
  <c r="B13" i="9"/>
  <c r="F19" i="14"/>
  <c r="F17" i="8"/>
  <c r="B14" i="9" s="1"/>
  <c r="B13" i="10"/>
  <c r="B14" i="10" s="1"/>
  <c r="B15" i="10" s="1"/>
  <c r="B19" i="9"/>
  <c r="B20" i="9" s="1"/>
  <c r="C11" i="9"/>
  <c r="C12" i="9"/>
  <c r="G10" i="6"/>
  <c r="F8" i="14"/>
  <c r="F21" i="6"/>
  <c r="H5" i="14"/>
  <c r="G10" i="8"/>
  <c r="G12" i="8"/>
  <c r="G14" i="8" s="1"/>
  <c r="G15" i="8" s="1"/>
  <c r="G16" i="8" s="1"/>
  <c r="G17" i="8" s="1"/>
  <c r="H22" i="16"/>
  <c r="H14" i="16"/>
  <c r="B14" i="16" s="1"/>
  <c r="B16" i="16" s="1"/>
  <c r="B17" i="16" s="1"/>
  <c r="B19" i="16" s="1"/>
  <c r="I5" i="14"/>
  <c r="I8" i="7" l="1"/>
  <c r="I6" i="14" s="1"/>
  <c r="D15" i="7"/>
  <c r="D16" i="7" s="1"/>
  <c r="G9" i="7"/>
  <c r="G13" i="14" s="1"/>
  <c r="G17" i="14" s="1"/>
  <c r="I9" i="7"/>
  <c r="I13" i="14" s="1"/>
  <c r="I17" i="14" s="1"/>
  <c r="C14" i="7"/>
  <c r="F9" i="7"/>
  <c r="F13" i="14" s="1"/>
  <c r="F17" i="14" s="1"/>
  <c r="F20" i="14" s="1"/>
  <c r="H9" i="7"/>
  <c r="H13" i="14" s="1"/>
  <c r="H17" i="14" s="1"/>
  <c r="B6" i="7"/>
  <c r="B14" i="7" s="1"/>
  <c r="F8" i="7"/>
  <c r="F6" i="14" s="1"/>
  <c r="H8" i="7"/>
  <c r="H6" i="14" s="1"/>
  <c r="G8" i="7"/>
  <c r="G6" i="14" s="1"/>
  <c r="C15" i="7"/>
  <c r="E15" i="7"/>
  <c r="E14" i="7"/>
  <c r="B4" i="15" a="1"/>
  <c r="D7" i="15" s="1"/>
  <c r="G12" i="6"/>
  <c r="G14" i="6" s="1"/>
  <c r="G19" i="14"/>
  <c r="H19" i="14" s="1"/>
  <c r="I19" i="14" s="1"/>
  <c r="B20" i="16"/>
  <c r="B21" i="16"/>
  <c r="B7" i="12"/>
  <c r="B4" i="12"/>
  <c r="B6" i="12" s="1"/>
  <c r="C13" i="9"/>
  <c r="C16" i="7" l="1"/>
  <c r="E16" i="7"/>
  <c r="B15" i="7"/>
  <c r="B16" i="7" s="1"/>
  <c r="F10" i="7"/>
  <c r="B9" i="12" s="1"/>
  <c r="B10" i="12" s="1"/>
  <c r="B11" i="12" s="1"/>
  <c r="I20" i="14"/>
  <c r="H10" i="7"/>
  <c r="G10" i="7"/>
  <c r="I10" i="7"/>
  <c r="E9" i="12" s="1"/>
  <c r="B4" i="15"/>
  <c r="B7" i="15" s="1"/>
  <c r="E7" i="15"/>
  <c r="F7" i="15" s="1"/>
  <c r="G7" i="15" s="1"/>
  <c r="H7" i="15" s="1"/>
  <c r="I7" i="15" s="1"/>
  <c r="C7" i="15"/>
  <c r="G20" i="14"/>
  <c r="H20" i="14"/>
  <c r="G8" i="14"/>
  <c r="H10" i="6"/>
  <c r="H12" i="6" s="1"/>
  <c r="H14" i="6" s="1"/>
  <c r="G21" i="6"/>
  <c r="C36" i="16"/>
  <c r="D36" i="16"/>
  <c r="C40" i="16"/>
  <c r="F38" i="16"/>
  <c r="C39" i="16"/>
  <c r="E40" i="16"/>
  <c r="F37" i="16"/>
  <c r="F40" i="16"/>
  <c r="B21" i="9"/>
  <c r="B22" i="9" s="1"/>
  <c r="F39" i="16"/>
  <c r="E36" i="16"/>
  <c r="D37" i="16"/>
  <c r="B22" i="16"/>
  <c r="B23" i="16" s="1"/>
  <c r="D38" i="16"/>
  <c r="B40" i="16"/>
  <c r="D39" i="16"/>
  <c r="C37" i="16"/>
  <c r="B39" i="16"/>
  <c r="E37" i="16"/>
  <c r="C38" i="16"/>
  <c r="E39" i="16"/>
  <c r="B38" i="16"/>
  <c r="E38" i="16"/>
  <c r="C14" i="9"/>
  <c r="D40" i="16"/>
  <c r="F36" i="16"/>
  <c r="B36" i="16"/>
  <c r="B37" i="16"/>
  <c r="F6" i="15" l="1"/>
  <c r="F8" i="15" s="1"/>
  <c r="G6" i="15"/>
  <c r="G8" i="15" s="1"/>
  <c r="C9" i="12"/>
  <c r="C10" i="12" s="1"/>
  <c r="C11" i="12" s="1"/>
  <c r="C15" i="12" s="1"/>
  <c r="D9" i="12"/>
  <c r="E10" i="12" s="1"/>
  <c r="E11" i="12" s="1"/>
  <c r="I6" i="15"/>
  <c r="I8" i="15" s="1"/>
  <c r="H6" i="15"/>
  <c r="H8" i="15" s="1"/>
  <c r="H8" i="14"/>
  <c r="H21" i="6"/>
  <c r="I10" i="6"/>
  <c r="I12" i="6" s="1"/>
  <c r="I14" i="6" s="1"/>
  <c r="B15" i="12"/>
  <c r="D10" i="12" l="1"/>
  <c r="D11" i="12" s="1"/>
  <c r="D15" i="12" s="1"/>
  <c r="E15" i="12"/>
  <c r="B19" i="12"/>
  <c r="B20" i="12" s="1"/>
  <c r="B21" i="12" s="1"/>
  <c r="B25" i="12" s="1"/>
  <c r="I8" i="14"/>
  <c r="I21" i="6"/>
  <c r="F36" i="12" l="1" a="1"/>
  <c r="F36" i="12" s="1"/>
  <c r="F38" i="12" a="1"/>
  <c r="F38" i="12" s="1"/>
  <c r="D39" i="12" a="1"/>
  <c r="D39" i="12" s="1"/>
  <c r="B36" i="12" a="1"/>
  <c r="B36" i="12" s="1"/>
  <c r="E36" i="12" a="1"/>
  <c r="E36" i="12" s="1"/>
  <c r="D35" i="12" a="1"/>
  <c r="D35" i="12" s="1"/>
  <c r="E39" i="12" a="1"/>
  <c r="E39" i="12" s="1"/>
  <c r="B37" i="12" a="1"/>
  <c r="B37" i="12" s="1"/>
  <c r="C39" i="12" a="1"/>
  <c r="C39" i="12" s="1"/>
  <c r="D38" i="12" a="1"/>
  <c r="D38" i="12" s="1"/>
  <c r="C35" i="12" a="1"/>
  <c r="C35" i="12" s="1"/>
  <c r="C37" i="12" a="1"/>
  <c r="C37" i="12" s="1"/>
  <c r="F37" i="12" a="1"/>
  <c r="F37" i="12" s="1"/>
  <c r="B38" i="12" a="1"/>
  <c r="B38" i="12" s="1"/>
  <c r="C36" i="12" a="1"/>
  <c r="C36" i="12" s="1"/>
  <c r="F35" i="12" a="1"/>
  <c r="F35" i="12" s="1"/>
  <c r="F39" i="12" a="1"/>
  <c r="F39" i="12" s="1"/>
  <c r="E38" i="12" a="1"/>
  <c r="E38" i="12" s="1"/>
  <c r="B39" i="12" a="1"/>
  <c r="B39" i="12" s="1"/>
  <c r="B35" i="12" a="1"/>
  <c r="B35" i="12" s="1"/>
  <c r="C38" i="12" a="1"/>
  <c r="C38" i="12" s="1"/>
  <c r="E37" i="12" a="1"/>
  <c r="E37" i="12" s="1"/>
  <c r="E35" i="12" a="1"/>
  <c r="E35" i="12" s="1"/>
  <c r="D37" i="12" a="1"/>
  <c r="D37" i="12" s="1"/>
  <c r="D36" i="12" a="1"/>
  <c r="D36" i="12" s="1"/>
  <c r="B24" i="12"/>
  <c r="B26" i="12" s="1"/>
  <c r="B43" i="12" s="1"/>
  <c r="B30" i="12" l="1"/>
  <c r="B31" i="12"/>
  <c r="H18" i="15"/>
  <c r="H20" i="15" s="1"/>
  <c r="I18" i="15"/>
  <c r="I20" i="15" s="1"/>
  <c r="G18" i="15"/>
  <c r="G20" i="15"/>
  <c r="F18" i="15"/>
  <c r="F20" i="15" s="1"/>
  <c r="F22" i="15" s="1"/>
  <c r="G22" i="15" l="1"/>
  <c r="G21" i="15"/>
  <c r="F4" i="14"/>
  <c r="F11" i="14" s="1"/>
  <c r="F21" i="14" s="1"/>
  <c r="H22" i="15" l="1"/>
  <c r="G4" i="14"/>
  <c r="G11" i="14" s="1"/>
  <c r="G21" i="14" s="1"/>
  <c r="H21" i="15"/>
  <c r="I21" i="15" l="1"/>
  <c r="I22" i="15"/>
  <c r="I4" i="14" s="1"/>
  <c r="I11" i="14" s="1"/>
  <c r="I21" i="14" s="1"/>
  <c r="H4" i="14"/>
  <c r="H11" i="14" s="1"/>
  <c r="H21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<sst xmlns="http://schemas.openxmlformats.org/spreadsheetml/2006/main" count="435" uniqueCount="251">
  <si>
    <t>Fiscal Year</t>
  </si>
  <si>
    <t>FY2023A</t>
  </si>
  <si>
    <t>FY2024A</t>
  </si>
  <si>
    <t>FY2025A</t>
  </si>
  <si>
    <t>FY2026A</t>
  </si>
  <si>
    <t>FY2027E</t>
  </si>
  <si>
    <t>FY2028E</t>
  </si>
  <si>
    <t>FY2029E</t>
  </si>
  <si>
    <t>FY2030E</t>
  </si>
  <si>
    <t>Gross Profit</t>
  </si>
  <si>
    <t>Gross Margin %</t>
  </si>
  <si>
    <t>SG&amp;A</t>
  </si>
  <si>
    <t>D&amp;A</t>
  </si>
  <si>
    <t>EBITDA</t>
  </si>
  <si>
    <t>EBITDA Margin %</t>
  </si>
  <si>
    <t>Operating Income</t>
  </si>
  <si>
    <t>Operating Margin %</t>
  </si>
  <si>
    <t>Net Financing Costs</t>
  </si>
  <si>
    <t>Earnings Before Tax</t>
  </si>
  <si>
    <t>Income Taxes</t>
  </si>
  <si>
    <t>Ending Store Count</t>
  </si>
  <si>
    <t>Net New Stores</t>
  </si>
  <si>
    <t>Store Growth %</t>
  </si>
  <si>
    <t>Comparable Store Sales Growth %</t>
  </si>
  <si>
    <t>Transaction Growth %</t>
  </si>
  <si>
    <t>Average Transaction Size Growth %</t>
  </si>
  <si>
    <t>STORE PRODUCTIVITY</t>
  </si>
  <si>
    <t>Sales per Store</t>
  </si>
  <si>
    <t>Sales per Store Growth %</t>
  </si>
  <si>
    <t>CANADA REVENUE DRIVERS</t>
  </si>
  <si>
    <t>Canada Revenue</t>
  </si>
  <si>
    <t>Canada Revenue Growth %</t>
  </si>
  <si>
    <t>AUSTRALIA / DOLLARAMA AUSTRALIA</t>
  </si>
  <si>
    <t>Australia Revenue</t>
  </si>
  <si>
    <t>CONSOLIDATED OUTPUT</t>
  </si>
  <si>
    <t>Consolidated Revenue</t>
  </si>
  <si>
    <t>Consolidated Revenue Growth %</t>
  </si>
  <si>
    <t>CANADA STORE NETWORK</t>
  </si>
  <si>
    <t>COMPARABLE STORE SALES GROWTH %</t>
  </si>
  <si>
    <t>CANADA REVENUE BUILD</t>
  </si>
  <si>
    <t xml:space="preserve">Comparable Store Sales Growth % </t>
  </si>
  <si>
    <t>Non-comparable Other Growth %</t>
  </si>
  <si>
    <t xml:space="preserve"> </t>
  </si>
  <si>
    <t>AUSTRALIA REVENUE BUILD</t>
  </si>
  <si>
    <t>CONSOLIDATED REVENUE</t>
  </si>
  <si>
    <t xml:space="preserve">Consolidated Revenue </t>
  </si>
  <si>
    <t>Revenue Growth %</t>
  </si>
  <si>
    <t>Revenue</t>
  </si>
  <si>
    <t xml:space="preserve">EBITDA </t>
  </si>
  <si>
    <t>D &amp; A</t>
  </si>
  <si>
    <t>CAPITAL EXPENDITURES</t>
  </si>
  <si>
    <t>CapEx</t>
  </si>
  <si>
    <t>PROPERTY, PLANT &amp; EQUIPMENT</t>
  </si>
  <si>
    <t>Beginning PP&amp;E</t>
  </si>
  <si>
    <t>Depreciation</t>
  </si>
  <si>
    <t>Other Adjustments</t>
  </si>
  <si>
    <t>Ending PP&amp;E</t>
  </si>
  <si>
    <t>DEPRECIATION &amp; AMORTIZATION</t>
  </si>
  <si>
    <t>MODEL CHECKS</t>
  </si>
  <si>
    <t>PP&amp;E Roll-Forward Check</t>
  </si>
  <si>
    <t>Metric</t>
  </si>
  <si>
    <t>Accounts receivable</t>
  </si>
  <si>
    <t>Right-of-use assets</t>
  </si>
  <si>
    <t>Intangible assets</t>
  </si>
  <si>
    <t>Total assets</t>
  </si>
  <si>
    <t>Total liabilities</t>
  </si>
  <si>
    <t>PP&amp;E additions</t>
  </si>
  <si>
    <t>Intangible additions</t>
  </si>
  <si>
    <t>Lease principal payments</t>
  </si>
  <si>
    <t>Dividends paid</t>
  </si>
  <si>
    <t>Income taxes</t>
  </si>
  <si>
    <t>Shareholders equity</t>
  </si>
  <si>
    <t>COGS</t>
  </si>
  <si>
    <t>Cash</t>
  </si>
  <si>
    <t>Inventory</t>
  </si>
  <si>
    <t>Accounts payable &amp; accruals</t>
  </si>
  <si>
    <t>PP&amp;E</t>
  </si>
  <si>
    <t>Total debt</t>
  </si>
  <si>
    <t>Total lease liabilities</t>
  </si>
  <si>
    <t>Operating cash flow</t>
  </si>
  <si>
    <t>Total CapEx</t>
  </si>
  <si>
    <t>Change in working capital</t>
  </si>
  <si>
    <t>Share repurchases</t>
  </si>
  <si>
    <t>PP&amp;E Depreciation</t>
  </si>
  <si>
    <t>WORKING CAPITAL</t>
  </si>
  <si>
    <t>Accounts Receivable</t>
  </si>
  <si>
    <t>Accounts Payable &amp; Accruals</t>
  </si>
  <si>
    <t>Net Working Capital</t>
  </si>
  <si>
    <t>WORKING CAPITAL DRIVERS</t>
  </si>
  <si>
    <t>DSO (Days)</t>
  </si>
  <si>
    <t>DIO (Days)</t>
  </si>
  <si>
    <t>DPO (Days)</t>
  </si>
  <si>
    <t>Cash Conversion Cycle (Days)</t>
  </si>
  <si>
    <t>FINANCING</t>
  </si>
  <si>
    <t>Total Debt</t>
  </si>
  <si>
    <t>Lease Liabilities</t>
  </si>
  <si>
    <t>Net Debt</t>
  </si>
  <si>
    <t>Operating Income (EBIT)</t>
  </si>
  <si>
    <t>Net Income</t>
  </si>
  <si>
    <t>Net Profit Margin %</t>
  </si>
  <si>
    <t>Earning before tax</t>
  </si>
  <si>
    <t>Tax Rate</t>
  </si>
  <si>
    <t>Income tax</t>
  </si>
  <si>
    <t>Cash &amp; Cash Equivalents</t>
  </si>
  <si>
    <t>Other Assets</t>
  </si>
  <si>
    <t>Intangible Assets</t>
  </si>
  <si>
    <t>Right-of-Use Assets</t>
  </si>
  <si>
    <t>Total Assets</t>
  </si>
  <si>
    <t>Other Liabilities</t>
  </si>
  <si>
    <t>Total Liabilities</t>
  </si>
  <si>
    <t>Shareholders' Equity</t>
  </si>
  <si>
    <t>Total Liabilities &amp; Equity</t>
  </si>
  <si>
    <t>Balance Sheet Check</t>
  </si>
  <si>
    <t>Change in Working Capital</t>
  </si>
  <si>
    <t>Other Operating Adjustments</t>
  </si>
  <si>
    <t>Cash Flow from Operations</t>
  </si>
  <si>
    <t>Cash Flow from Investing</t>
  </si>
  <si>
    <t>Change in Debt</t>
  </si>
  <si>
    <t>Lease Principal Payments</t>
  </si>
  <si>
    <t>Share Repurchases</t>
  </si>
  <si>
    <t>Dividends Paid</t>
  </si>
  <si>
    <t>Cash Flow from Financing</t>
  </si>
  <si>
    <t>Net Change in Cash</t>
  </si>
  <si>
    <t>Beginning Cash</t>
  </si>
  <si>
    <t>Ending Cash</t>
  </si>
  <si>
    <t>Intengible asset purchase</t>
  </si>
  <si>
    <t>FY2027 Budget</t>
  </si>
  <si>
    <t>FY2027 Reforecast</t>
  </si>
  <si>
    <t>FY2028 Reforecast</t>
  </si>
  <si>
    <t>FY2029 Reforecast</t>
  </si>
  <si>
    <t>FY2030 Reforecast</t>
  </si>
  <si>
    <t>Metrics</t>
  </si>
  <si>
    <t>SG&amp;A % of Revenue</t>
  </si>
  <si>
    <t>COGS %</t>
  </si>
  <si>
    <t>Revenue Variance</t>
  </si>
  <si>
    <t>EBITDA Variance</t>
  </si>
  <si>
    <t xml:space="preserve">Revenue </t>
  </si>
  <si>
    <t>Variance</t>
  </si>
  <si>
    <t>Product Category</t>
  </si>
  <si>
    <t>Consumables</t>
  </si>
  <si>
    <t>General Merchandise</t>
  </si>
  <si>
    <t>Seasonal Products</t>
  </si>
  <si>
    <t>PRICE–VOLUME–MIX BRIDGE</t>
  </si>
  <si>
    <t>Budget Revenue</t>
  </si>
  <si>
    <t>Price Impact</t>
  </si>
  <si>
    <t>Volume Impact</t>
  </si>
  <si>
    <t>Mix Impact</t>
  </si>
  <si>
    <t>Reforecast Revenue</t>
  </si>
  <si>
    <t>PVM Reconciliation Check</t>
  </si>
  <si>
    <t>Budget Units (M)</t>
  </si>
  <si>
    <t>Budget Price (CAD)</t>
  </si>
  <si>
    <t>Reforecast Units (M)</t>
  </si>
  <si>
    <t>Reforecast Price (CAD)</t>
  </si>
  <si>
    <t>Budget Revenue (CAD M)</t>
  </si>
  <si>
    <t>Reforecast Revenue (CAD M)</t>
  </si>
  <si>
    <t>TOTAL</t>
  </si>
  <si>
    <t>FY2027 Budget Mix</t>
  </si>
  <si>
    <t>FY2027 Reforecast Mix</t>
  </si>
  <si>
    <t>EBITDA VARIANCE BRIDGE</t>
  </si>
  <si>
    <t>Budget EBITDA</t>
  </si>
  <si>
    <t>Revenue Impact</t>
  </si>
  <si>
    <t>COGS Rate Impact</t>
  </si>
  <si>
    <t>SG&amp;A Rate Impact</t>
  </si>
  <si>
    <t>Reforecast EBITDA</t>
  </si>
  <si>
    <t>EBITDA Reconciliation Check</t>
  </si>
  <si>
    <t>MANAGEMENT INSIGHTS</t>
  </si>
  <si>
    <t>-72.558M (-0.90%) vs. budget</t>
  </si>
  <si>
    <t>-84.774M (-3.63%) vs. budget</t>
  </si>
  <si>
    <t>Cost Pressure</t>
  </si>
  <si>
    <t>Higher COGS and SG&amp;A rates reduced profitability</t>
  </si>
  <si>
    <t>PVM Analysis</t>
  </si>
  <si>
    <t>Illustrative price, volume, and mix assumptions</t>
  </si>
  <si>
    <t>Management Priority</t>
  </si>
  <si>
    <t>Protect gross margins and improve cost efficiency</t>
  </si>
  <si>
    <t>SCENARIO ASSUMPTIONS</t>
  </si>
  <si>
    <t>Base</t>
  </si>
  <si>
    <t>Annual Revenue Growth Adjustment</t>
  </si>
  <si>
    <t>COGS Rate Adjustment</t>
  </si>
  <si>
    <t>SG&amp;A Rate Adjustment</t>
  </si>
  <si>
    <t>SG&amp;A %</t>
  </si>
  <si>
    <t>Best</t>
  </si>
  <si>
    <t>Worst</t>
  </si>
  <si>
    <t>Choose Scenario</t>
  </si>
  <si>
    <t>Scenario</t>
  </si>
  <si>
    <t>Best Case</t>
  </si>
  <si>
    <t>Base Case</t>
  </si>
  <si>
    <t>FY2027 EBITDA SENSITIVITY — CAD MILLIONS</t>
  </si>
  <si>
    <t>Revenue Change / COGS Change</t>
  </si>
  <si>
    <t>FY2027 NET INCOME SENSITIVITY — CAD MILLIONS</t>
  </si>
  <si>
    <t>Revenue Change / SG&amp;A Change</t>
  </si>
  <si>
    <t>DOLLARAMA — DCF VALUATION (CAD MILLIONS)</t>
  </si>
  <si>
    <t>NOPAT</t>
  </si>
  <si>
    <t>Change in NWC</t>
  </si>
  <si>
    <t>Forecast Year</t>
  </si>
  <si>
    <t>WACC</t>
  </si>
  <si>
    <t>Discount Factor</t>
  </si>
  <si>
    <t>PV of Free Cash Flow</t>
  </si>
  <si>
    <t>TERMINAL VALUE</t>
  </si>
  <si>
    <t>Terminal Growth Rate</t>
  </si>
  <si>
    <t>FY2031 Terminal FCF</t>
  </si>
  <si>
    <t>Terminal Value</t>
  </si>
  <si>
    <t>PV of Terminal Value</t>
  </si>
  <si>
    <t>VALUATION SUMMARY</t>
  </si>
  <si>
    <t>PV of Forecast FCF</t>
  </si>
  <si>
    <t>Enterprise Value</t>
  </si>
  <si>
    <t>FY2026 Cash</t>
  </si>
  <si>
    <t>FY2026 Financial Debt</t>
  </si>
  <si>
    <t>FY2026 Lease Liabilities</t>
  </si>
  <si>
    <t>Equity Value (lease-adjusted)</t>
  </si>
  <si>
    <t>Terminal Value % of EV</t>
  </si>
  <si>
    <t>WACC / TERMINAL GROWTH SENSITIVITY — EQUITY VALUE</t>
  </si>
  <si>
    <t>WACC / Growth</t>
  </si>
  <si>
    <t>WACC Less Terminal Growth</t>
  </si>
  <si>
    <t>Forecast FCF % of EV</t>
  </si>
  <si>
    <t>Revenue Variance %</t>
  </si>
  <si>
    <t>EBITDA Variance %</t>
  </si>
  <si>
    <t>Net Profit Variance %</t>
  </si>
  <si>
    <t>SG%A</t>
  </si>
  <si>
    <t>D&amp;A % of Revenue</t>
  </si>
  <si>
    <t>D &amp; A % of Revenue</t>
  </si>
  <si>
    <t>CapEx % of Revenue</t>
  </si>
  <si>
    <t>Capex</t>
  </si>
  <si>
    <t xml:space="preserve">Net Profit Margin </t>
  </si>
  <si>
    <t>Unlevered Free Cash Flow (UFCF)</t>
  </si>
  <si>
    <t>Worst Case</t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</si>
  <si>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Income Statement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</si>
  <si>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t xml:space="preserve">DOLLARAMA INC. | Capital &amp; Financing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</si>
  <si>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PP&amp;E &amp; Capex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</si>
  <si>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Operating Model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  <r>
      <rPr>
        <b/>
        <sz val="14"/>
        <color theme="7" tint="0.59999389629810485"/>
        <rFont val="Aptos Display"/>
        <family val="2"/>
        <scheme val="major"/>
      </rPr>
      <t xml:space="preserve">
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</si>
  <si>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Revenue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</si>
  <si>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Operating Drivers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</si>
  <si>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HISTORICAL &amp; ASSUMPTIONS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  <r>
      <rPr>
        <b/>
        <sz val="14"/>
        <color theme="7" tint="0.59999389629810485"/>
        <rFont val="Aptos Display"/>
        <family val="2"/>
        <scheme val="major"/>
      </rPr>
      <t xml:space="preserve">
</t>
    </r>
  </si>
  <si>
    <r>
      <rPr>
        <b/>
        <sz val="14"/>
        <color theme="7" tint="0.59999389629810485"/>
        <rFont val="Aptos Display"/>
        <family val="2"/>
        <scheme val="major"/>
      </rPr>
      <t xml:space="preserve">DOLLARAMA INC. | Balance Sheet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</si>
  <si>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t xml:space="preserve">DOLLARAMA INC. | Cash Flow Statement
</t>
    </r>
    <r>
      <rPr>
        <b/>
        <sz val="12"/>
        <color theme="7" tint="0.59999389629810485"/>
        <rFont val="Aptos Display"/>
        <family val="2"/>
        <scheme val="major"/>
      </rPr>
      <t>CAD in millions | FY2023A–FY2030E</t>
    </r>
  </si>
  <si>
    <r>
      <t xml:space="preserve">DOLLARAMA INC. | Variance &amp; PVM
</t>
    </r>
    <r>
      <rPr>
        <b/>
        <sz val="12"/>
        <color theme="7" tint="0.59999389629810485"/>
        <rFont val="Aptos Display"/>
        <family val="2"/>
        <scheme val="major"/>
      </rPr>
      <t>CAD in millions</t>
    </r>
  </si>
  <si>
    <r>
      <t xml:space="preserve">DOLLARAMA — SCENARIO &amp; SENSITIVITY ANALYSIS
</t>
    </r>
    <r>
      <rPr>
        <b/>
        <sz val="12"/>
        <color theme="7" tint="0.59999389629810485"/>
        <rFont val="Aptos Display"/>
        <family val="2"/>
        <scheme val="major"/>
      </rPr>
      <t>CAD in millions | FY2027E–FY2030E</t>
    </r>
  </si>
  <si>
    <r>
      <t xml:space="preserve">DOLLARAMA INC. | Budget &amp; Reforecast
</t>
    </r>
    <r>
      <rPr>
        <b/>
        <sz val="12"/>
        <color theme="7" tint="0.59999389629810485"/>
        <rFont val="Aptos Display"/>
        <family val="2"/>
        <scheme val="major"/>
      </rPr>
      <t>CAD in millions</t>
    </r>
  </si>
  <si>
    <t>Province / Territory</t>
  </si>
  <si>
    <t>Alberta</t>
  </si>
  <si>
    <t>British Columbia</t>
  </si>
  <si>
    <t>Manitoba</t>
  </si>
  <si>
    <t>New Brunswick</t>
  </si>
  <si>
    <t>Newfoundland and Labrador</t>
  </si>
  <si>
    <t>Northwest Territories</t>
  </si>
  <si>
    <t>Nova Scotia</t>
  </si>
  <si>
    <t>Ontario</t>
  </si>
  <si>
    <t>Prince Edward Island</t>
  </si>
  <si>
    <t>Quebec</t>
  </si>
  <si>
    <t>Saskatchewan</t>
  </si>
  <si>
    <t>Yukon</t>
  </si>
  <si>
    <t>TOTAL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</si>
</sst>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00%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sz val="10"/>
      <name val="Aptos Narrow"/>
      <family val="2"/>
      <scheme val="minor"/>
    </font>
    <font>
      <b/>
      <sz val="14"/>
      <color theme="7" tint="0.59999389629810485"/>
      <name val="Aptos Display"/>
      <family val="2"/>
      <scheme val="major"/>
    </font>
    <font>
      <b/>
      <sz val="12"/>
      <color theme="7" tint="0.59999389629810485"/>
      <name val="Aptos Display"/>
      <family val="2"/>
      <scheme val="major"/>
    </font>
    <font>
      <sz val="11"/>
      <color rgb="FF123C3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23C32"/>
        <bgColor indexed="64"/>
      </patternFill>
    </fill>
    <fill>
      <patternFill patternType="solid">
        <fgColor rgb="FF263B4D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164" fontId="0" fillId="0" borderId="0" xfId="1" applyNumberFormat="1" applyFont="1"/>
    <xf numFmtId="10" fontId="0" fillId="0" borderId="0" xfId="1" applyNumberFormat="1" applyFont="1"/>
    <xf numFmtId="0" fontId="2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applyAlignment="1">
      <alignment vertical="center"/>
    </xf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0" fontId="2" fillId="0" borderId="0" xfId="0" applyNumberFormat="1" applyFont="1"/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right"/>
    </xf>
    <xf numFmtId="10" fontId="5" fillId="4" borderId="0" xfId="1" applyNumberFormat="1" applyFont="1" applyFill="1" applyAlignment="1">
      <alignment horizontal="right"/>
    </xf>
    <xf numFmtId="164" fontId="5" fillId="4" borderId="0" xfId="1" applyNumberFormat="1" applyFont="1" applyFill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top"/>
    </xf>
    <xf numFmtId="0" fontId="6" fillId="4" borderId="0" xfId="0" applyFont="1" applyFill="1" applyAlignment="1">
      <alignment horizontal="left"/>
    </xf>
    <xf numFmtId="0" fontId="6" fillId="4" borderId="0" xfId="0" applyFont="1" applyFill="1" applyAlignment="1">
      <alignment horizontal="right"/>
    </xf>
    <xf numFmtId="10" fontId="5" fillId="4" borderId="0" xfId="1" applyNumberFormat="1" applyFont="1" applyFill="1" applyBorder="1" applyAlignment="1">
      <alignment horizontal="right"/>
    </xf>
    <xf numFmtId="165" fontId="5" fillId="4" borderId="0" xfId="0" applyNumberFormat="1" applyFont="1" applyFill="1" applyAlignment="1">
      <alignment horizontal="right"/>
    </xf>
    <xf numFmtId="164" fontId="5" fillId="4" borderId="0" xfId="1" applyNumberFormat="1" applyFont="1" applyFill="1" applyBorder="1" applyAlignment="1">
      <alignment horizontal="right"/>
    </xf>
    <xf numFmtId="10" fontId="1" fillId="0" borderId="0" xfId="1" applyNumberFormat="1" applyFont="1"/>
    <xf numFmtId="0" fontId="0" fillId="4" borderId="0" xfId="0" applyFill="1"/>
    <xf numFmtId="0" fontId="8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right"/>
    </xf>
    <xf numFmtId="165" fontId="5" fillId="4" borderId="1" xfId="0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1" xfId="0" applyNumberFormat="1" applyFont="1" applyFill="1" applyBorder="1" applyAlignment="1">
      <alignment horizontal="right"/>
    </xf>
    <xf numFmtId="10" fontId="0" fillId="4" borderId="0" xfId="1" applyNumberFormat="1" applyFont="1" applyFill="1"/>
    <xf numFmtId="165" fontId="0" fillId="4" borderId="0" xfId="0" applyNumberFormat="1" applyFill="1"/>
    <xf numFmtId="0" fontId="0" fillId="4" borderId="0" xfId="0" applyFill="1" applyAlignment="1">
      <alignment horizontal="right"/>
    </xf>
    <xf numFmtId="164" fontId="0" fillId="4" borderId="0" xfId="1" applyNumberFormat="1" applyFont="1" applyFill="1" applyAlignment="1">
      <alignment horizontal="right"/>
    </xf>
    <xf numFmtId="0" fontId="2" fillId="4" borderId="0" xfId="0" applyFont="1" applyFill="1"/>
    <xf numFmtId="10" fontId="0" fillId="4" borderId="0" xfId="0" applyNumberFormat="1" applyFill="1"/>
    <xf numFmtId="0" fontId="0" fillId="4" borderId="0" xfId="0" applyFill="1" applyAlignment="1">
      <alignment vertical="center"/>
    </xf>
    <xf numFmtId="166" fontId="0" fillId="4" borderId="0" xfId="0" applyNumberFormat="1" applyFill="1"/>
    <xf numFmtId="0" fontId="2" fillId="4" borderId="0" xfId="0" applyFont="1" applyFill="1" applyAlignment="1">
      <alignment vertical="center"/>
    </xf>
    <xf numFmtId="1" fontId="0" fillId="4" borderId="0" xfId="0" applyNumberFormat="1" applyFill="1"/>
    <xf numFmtId="165" fontId="2" fillId="4" borderId="0" xfId="0" applyNumberFormat="1" applyFont="1" applyFill="1"/>
    <xf numFmtId="0" fontId="9" fillId="2" borderId="0" xfId="0" applyFont="1" applyFill="1" applyAlignment="1">
      <alignment horizontal="left" vertical="top" wrapText="1"/>
    </xf>
    <xf numFmtId="0" fontId="0" fillId="4" borderId="0" xfId="1" applyNumberFormat="1" applyFont="1" applyFill="1"/>
    <xf numFmtId="0" fontId="0" fillId="4" borderId="1" xfId="0" applyFill="1" applyBorder="1"/>
    <xf numFmtId="0" fontId="0" fillId="4" borderId="1" xfId="1" applyNumberFormat="1" applyFont="1" applyFill="1" applyBorder="1"/>
    <xf numFmtId="0" fontId="2" fillId="4" borderId="1" xfId="0" applyFont="1" applyFill="1" applyBorder="1"/>
    <xf numFmtId="10" fontId="0" fillId="4" borderId="0" xfId="1" applyNumberFormat="1" applyFont="1" applyFill="1" applyBorder="1"/>
    <xf numFmtId="165" fontId="0" fillId="4" borderId="1" xfId="0" applyNumberFormat="1" applyFill="1" applyBorder="1"/>
    <xf numFmtId="0" fontId="11" fillId="2" borderId="0" xfId="0" applyFont="1" applyFill="1"/>
    <xf numFmtId="9" fontId="0" fillId="4" borderId="0" xfId="0" applyNumberFormat="1" applyFill="1"/>
    <xf numFmtId="0" fontId="2" fillId="3" borderId="0" xfId="0" applyFont="1" applyFill="1"/>
    <xf numFmtId="0" fontId="0" fillId="3" borderId="0" xfId="0" applyFill="1"/>
    <xf numFmtId="0" fontId="11" fillId="3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9" fontId="0" fillId="4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10" fontId="0" fillId="4" borderId="0" xfId="0" applyNumberFormat="1" applyFill="1" applyAlignment="1">
      <alignment horizontal="left"/>
    </xf>
    <xf numFmtId="0" fontId="9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63B4D"/>
      <color rgb="FF123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81FA-D6A4-4614-BE8A-F69405DC17DA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7DFA-ADF3-4780-B1AC-FDEFBC8A3927}">
  <dimension ref="A1:P46"/>
  <sheetViews>
    <sheetView topLeftCell="A18" zoomScaleNormal="100" workbookViewId="0">
      <selection activeCell="L7" sqref="L7"/>
    </sheetView>
  </sheetViews>
  <sheetFormatPr defaultRowHeight="14.4"/>
  <cols>
    <col min="1" max="1" width="23.5546875" bestFit="1" customWidth="1"/>
    <col min="2" max="5" width="10.88671875" bestFit="1" customWidth="1"/>
    <col min="6" max="9" width="12" bestFit="1" customWidth="1"/>
    <col min="10" max="10" width="9.5546875" bestFit="1" customWidth="1"/>
    <col min="11" max="11" width="8" bestFit="1" customWidth="1"/>
    <col min="12" max="12" width="30.44140625" bestFit="1" customWidth="1"/>
  </cols>
  <sheetData>
    <row r="1" spans="1:16" s="19" customFormat="1" ht="36" customHeight="1">
      <c r="A1" s="62" t="s">
        <v>231</v>
      </c>
      <c r="B1" s="63"/>
      <c r="C1" s="63"/>
      <c r="D1" s="63"/>
      <c r="E1" s="63"/>
      <c r="F1" s="63"/>
      <c r="G1" s="63"/>
      <c r="H1" s="63"/>
      <c r="I1" s="63"/>
    </row>
    <row r="3" spans="1:16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16" s="3" customFormat="1" ht="16.95" customHeight="1">
      <c r="A4" s="20" t="s">
        <v>47</v>
      </c>
      <c r="B4" s="21">
        <v>5052.741</v>
      </c>
      <c r="C4" s="21">
        <v>5867.348</v>
      </c>
      <c r="D4" s="21">
        <v>6413.1450000000004</v>
      </c>
      <c r="E4" s="21">
        <v>7255.7539999999999</v>
      </c>
      <c r="F4" s="21" cm="1">
        <f t="array" ref="F4:F5">'Operating Model'!F4:F5</f>
        <v>8029.9895724999988</v>
      </c>
      <c r="G4" s="21" cm="1">
        <f t="array" ref="G4:G5">'Operating Model'!G4:G5</f>
        <v>8563.4888947124982</v>
      </c>
      <c r="H4" s="21" cm="1">
        <f t="array" ref="H4:H5">'Operating Model'!H4:H5</f>
        <v>9113.8440617373162</v>
      </c>
      <c r="I4" s="21" cm="1">
        <f t="array" ref="I4:I5">'Operating Model'!I4:I5</f>
        <v>9672.3098652563422</v>
      </c>
    </row>
    <row r="5" spans="1:16" ht="16.95" customHeight="1">
      <c r="A5" s="14" t="s">
        <v>46</v>
      </c>
      <c r="B5" s="22">
        <v>0.16700000000000001</v>
      </c>
      <c r="C5" s="22">
        <f>(C4/B4)-1</f>
        <v>0.1612208106451527</v>
      </c>
      <c r="D5" s="22">
        <f t="shared" ref="D5" si="0">(D4/C4)-1</f>
        <v>9.30227762184892E-2</v>
      </c>
      <c r="E5" s="22">
        <f>(E4/D4)-1</f>
        <v>0.13138779803045142</v>
      </c>
      <c r="F5" s="22">
        <v>0.10670642534187325</v>
      </c>
      <c r="G5" s="22">
        <v>6.6438358032189004E-2</v>
      </c>
      <c r="H5" s="22">
        <v>6.4267633646916122E-2</v>
      </c>
      <c r="I5" s="22">
        <v>6.1276646795355605E-2</v>
      </c>
      <c r="L5" s="4"/>
    </row>
    <row r="6" spans="1:16" ht="16.95" customHeight="1">
      <c r="A6" s="14" t="s">
        <v>72</v>
      </c>
      <c r="B6" s="30">
        <v>2854.5349999999999</v>
      </c>
      <c r="C6" s="30">
        <v>3253.9070000000002</v>
      </c>
      <c r="D6" s="30">
        <v>3519.3989999999999</v>
      </c>
      <c r="E6" s="30">
        <v>3987.0889999999999</v>
      </c>
      <c r="F6" s="30">
        <f>'Operating Model'!F6</f>
        <v>4488.7641710274993</v>
      </c>
      <c r="G6" s="30">
        <f>'Operating Model'!G6</f>
        <v>4769.8633143548614</v>
      </c>
      <c r="H6" s="30">
        <f>'Operating Model'!H6</f>
        <v>5058.18345426421</v>
      </c>
      <c r="I6" s="30">
        <f>'Operating Model'!I6</f>
        <v>5348.7873554867574</v>
      </c>
      <c r="L6" s="6"/>
    </row>
    <row r="7" spans="1:16" s="3" customFormat="1" ht="16.95" customHeight="1">
      <c r="A7" s="20" t="s">
        <v>9</v>
      </c>
      <c r="B7" s="21">
        <v>2198.2060000000001</v>
      </c>
      <c r="C7" s="21">
        <v>2613.4409999999998</v>
      </c>
      <c r="D7" s="21">
        <v>2893.7460000000001</v>
      </c>
      <c r="E7" s="21">
        <v>3268.665</v>
      </c>
      <c r="F7" s="21">
        <f>'Operating Model'!F7</f>
        <v>3541.2254014724995</v>
      </c>
      <c r="G7" s="21">
        <f>'Operating Model'!G7</f>
        <v>3793.6255803576369</v>
      </c>
      <c r="H7" s="21">
        <f>'Operating Model'!H7</f>
        <v>4055.6606074731058</v>
      </c>
      <c r="I7" s="21">
        <f>'Operating Model'!I7</f>
        <v>4323.5225097695848</v>
      </c>
      <c r="L7" s="18"/>
      <c r="M7" s="10"/>
      <c r="N7" s="10"/>
      <c r="O7" s="10"/>
      <c r="P7" s="10"/>
    </row>
    <row r="8" spans="1:16" ht="16.95" customHeight="1">
      <c r="A8" s="14" t="s">
        <v>10</v>
      </c>
      <c r="B8" s="24">
        <f>B7/B4</f>
        <v>0.43505218256783795</v>
      </c>
      <c r="C8" s="24">
        <f t="shared" ref="C8:E8" si="1">C7/C4</f>
        <v>0.44542116813251914</v>
      </c>
      <c r="D8" s="24">
        <f t="shared" si="1"/>
        <v>0.45122104677190361</v>
      </c>
      <c r="E8" s="24">
        <f t="shared" si="1"/>
        <v>0.45049280887968363</v>
      </c>
      <c r="F8" s="29">
        <f>'Operating Model'!F8</f>
        <v>0.441</v>
      </c>
      <c r="G8" s="29">
        <f>'Operating Model'!G8</f>
        <v>0.443</v>
      </c>
      <c r="H8" s="29">
        <f>'Operating Model'!H8</f>
        <v>0.44500000000000001</v>
      </c>
      <c r="I8" s="29">
        <f>'Operating Model'!I8</f>
        <v>0.44700000000000001</v>
      </c>
    </row>
    <row r="9" spans="1:16" ht="16.95" customHeight="1">
      <c r="A9" s="14" t="s">
        <v>11</v>
      </c>
      <c r="B9" s="15">
        <v>720.31200000000001</v>
      </c>
      <c r="C9" s="15">
        <v>844.87099999999998</v>
      </c>
      <c r="D9" s="15">
        <v>930.16800000000001</v>
      </c>
      <c r="E9" s="15">
        <v>1093.289</v>
      </c>
      <c r="F9" s="15">
        <f>'Operating Model'!F9</f>
        <v>1204.4984358749998</v>
      </c>
      <c r="G9" s="15">
        <f>'Operating Model'!G9</f>
        <v>1275.9598453121621</v>
      </c>
      <c r="H9" s="15">
        <f>'Operating Model'!H9</f>
        <v>1348.8489211371227</v>
      </c>
      <c r="I9" s="15">
        <f>'Operating Model'!I9</f>
        <v>1421.8295501926823</v>
      </c>
      <c r="L9" s="6"/>
    </row>
    <row r="10" spans="1:16" ht="16.95" customHeight="1">
      <c r="A10" s="14" t="s">
        <v>132</v>
      </c>
      <c r="B10" s="24">
        <f>B9/B4</f>
        <v>0.14255866271396062</v>
      </c>
      <c r="C10" s="24">
        <f t="shared" ref="C10:E10" si="2">C9/C4</f>
        <v>0.14399537917300967</v>
      </c>
      <c r="D10" s="24">
        <f t="shared" si="2"/>
        <v>0.14504084969231165</v>
      </c>
      <c r="E10" s="24">
        <f t="shared" si="2"/>
        <v>0.15067889567369566</v>
      </c>
      <c r="F10" s="29">
        <f>'Operating Model'!F10</f>
        <v>0.15</v>
      </c>
      <c r="G10" s="29">
        <f>'Operating Model'!G10</f>
        <v>0.14899999999999999</v>
      </c>
      <c r="H10" s="29">
        <f>'Operating Model'!H10</f>
        <v>0.14799999999999999</v>
      </c>
      <c r="I10" s="29">
        <f>'Operating Model'!I10</f>
        <v>0.14699999999999999</v>
      </c>
      <c r="L10" s="6"/>
    </row>
    <row r="11" spans="1:16" ht="16.95" customHeight="1">
      <c r="A11" s="14" t="s">
        <v>12</v>
      </c>
      <c r="B11" s="15">
        <v>331.79199999999997</v>
      </c>
      <c r="C11" s="15">
        <v>348.142</v>
      </c>
      <c r="D11" s="15">
        <v>382.80500000000001</v>
      </c>
      <c r="E11" s="15">
        <v>429.053</v>
      </c>
      <c r="F11" s="15" cm="1">
        <f t="array" ref="F11:F12">'Operating Model'!F13:F14</f>
        <v>489.47748019059304</v>
      </c>
      <c r="G11" s="15" cm="1">
        <f t="array" ref="G11:G12">'Operating Model'!G13:G14</f>
        <v>521.99756026818932</v>
      </c>
      <c r="H11" s="15" cm="1">
        <f t="array" ref="H11:H12">'Operating Model'!H13:H14</f>
        <v>555.54510823608939</v>
      </c>
      <c r="I11" s="15" cm="1">
        <f t="array" ref="I11:I12">'Operating Model'!I13:I14</f>
        <v>589.58704961235981</v>
      </c>
      <c r="L11" s="6"/>
      <c r="M11" s="2"/>
      <c r="N11" s="2"/>
      <c r="O11" s="2"/>
      <c r="P11" s="2"/>
    </row>
    <row r="12" spans="1:16" ht="16.95" customHeight="1">
      <c r="A12" s="14" t="s">
        <v>218</v>
      </c>
      <c r="B12" s="31">
        <f>B11/B4</f>
        <v>6.5665744592885322E-2</v>
      </c>
      <c r="C12" s="31">
        <f t="shared" ref="C12:E12" si="3">C11/C4</f>
        <v>5.9335495354971277E-2</v>
      </c>
      <c r="D12" s="31">
        <f t="shared" si="3"/>
        <v>5.9690682184793883E-2</v>
      </c>
      <c r="E12" s="31">
        <f t="shared" si="3"/>
        <v>5.9132793090835217E-2</v>
      </c>
      <c r="F12" s="32">
        <v>6.0956178805871432E-2</v>
      </c>
      <c r="G12" s="32">
        <v>6.0956178805871432E-2</v>
      </c>
      <c r="H12" s="32">
        <v>6.0956178805871432E-2</v>
      </c>
      <c r="I12" s="32">
        <v>6.0956178805871432E-2</v>
      </c>
    </row>
    <row r="13" spans="1:16" s="3" customFormat="1" ht="16.95" customHeight="1">
      <c r="A13" s="20" t="s">
        <v>13</v>
      </c>
      <c r="B13" s="21">
        <v>1477.894</v>
      </c>
      <c r="C13" s="21">
        <v>1768.5699999999997</v>
      </c>
      <c r="D13" s="21">
        <v>1963.578</v>
      </c>
      <c r="E13" s="21">
        <v>2175.3760000000002</v>
      </c>
      <c r="F13" s="21" cm="1">
        <f t="array" ref="F13:F14">'Operating Model'!F11:F12</f>
        <v>2336.7269655974997</v>
      </c>
      <c r="G13" s="21" cm="1">
        <f t="array" ref="G13:G14">'Operating Model'!G11:G12</f>
        <v>2517.6657350454743</v>
      </c>
      <c r="H13" s="21" cm="1">
        <f t="array" ref="H13:H14">'Operating Model'!H11:H12</f>
        <v>2706.8116863359828</v>
      </c>
      <c r="I13" s="21" cm="1">
        <f t="array" ref="I13:I14">'Operating Model'!I11:I12</f>
        <v>2901.6929595769025</v>
      </c>
      <c r="L13" s="18"/>
    </row>
    <row r="14" spans="1:16" ht="16.95" customHeight="1">
      <c r="A14" s="14" t="s">
        <v>14</v>
      </c>
      <c r="B14" s="31">
        <f>B13/B4</f>
        <v>0.29249351985387734</v>
      </c>
      <c r="C14" s="31">
        <f>C13/C4</f>
        <v>0.30142578895950944</v>
      </c>
      <c r="D14" s="31">
        <f>D13/D4</f>
        <v>0.30618019707959199</v>
      </c>
      <c r="E14" s="31">
        <f>E13/E4</f>
        <v>0.29981391320598799</v>
      </c>
      <c r="F14" s="31">
        <v>0.29099999999999998</v>
      </c>
      <c r="G14" s="31">
        <v>0.29399999999999998</v>
      </c>
      <c r="H14" s="31">
        <v>0.29699999999999999</v>
      </c>
      <c r="I14" s="31">
        <v>0.3</v>
      </c>
      <c r="L14" s="6"/>
      <c r="M14" s="5"/>
      <c r="N14" s="5"/>
      <c r="O14" s="5"/>
      <c r="P14" s="5"/>
    </row>
    <row r="15" spans="1:16" s="3" customFormat="1" ht="16.95" customHeight="1">
      <c r="A15" s="20" t="s">
        <v>97</v>
      </c>
      <c r="B15" s="21">
        <f>'Operating Model'!B15</f>
        <v>1146.1020000000003</v>
      </c>
      <c r="C15" s="21">
        <f>'Operating Model'!C15</f>
        <v>1420.4279999999997</v>
      </c>
      <c r="D15" s="21">
        <f>'Operating Model'!D15</f>
        <v>1580.7729999999999</v>
      </c>
      <c r="E15" s="21">
        <f>'Operating Model'!E15</f>
        <v>1746.3230000000003</v>
      </c>
      <c r="F15" s="21" cm="1">
        <f t="array" ref="F15:F16">'Operating Model'!F15:F16</f>
        <v>1847.2494854069066</v>
      </c>
      <c r="G15" s="21" cm="1">
        <f t="array" ref="G15:G16">'Operating Model'!G15:G16</f>
        <v>1995.668174777285</v>
      </c>
      <c r="H15" s="21" cm="1">
        <f t="array" ref="H15:H16">'Operating Model'!H15:H16</f>
        <v>2151.2665780998932</v>
      </c>
      <c r="I15" s="21" cm="1">
        <f t="array" ref="I15:I16">'Operating Model'!I15:I16</f>
        <v>2312.1059099645427</v>
      </c>
    </row>
    <row r="16" spans="1:16" ht="16.95" customHeight="1">
      <c r="A16" s="14" t="s">
        <v>16</v>
      </c>
      <c r="B16" s="22">
        <f>B15/B4</f>
        <v>0.22682777526099207</v>
      </c>
      <c r="C16" s="22">
        <f>C15/C4</f>
        <v>0.24209029360453815</v>
      </c>
      <c r="D16" s="22">
        <f>D15/D4</f>
        <v>0.24648951489479806</v>
      </c>
      <c r="E16" s="22">
        <f>E15/E4</f>
        <v>0.2406811201151528</v>
      </c>
      <c r="F16" s="22">
        <v>0.23200000000000001</v>
      </c>
      <c r="G16" s="22">
        <v>0.23499999999999999</v>
      </c>
      <c r="H16" s="22">
        <v>0.23799999999999999</v>
      </c>
      <c r="I16" s="22">
        <v>0.24099999999999999</v>
      </c>
      <c r="L16" s="6"/>
    </row>
    <row r="17" spans="1:16" ht="16.95" customHeight="1">
      <c r="A17" s="14" t="s">
        <v>17</v>
      </c>
      <c r="B17" s="15">
        <v>115.39400000000001</v>
      </c>
      <c r="C17" s="15">
        <v>144.84200000000001</v>
      </c>
      <c r="D17" s="15">
        <v>163.78200000000001</v>
      </c>
      <c r="E17" s="15">
        <v>184.02</v>
      </c>
      <c r="F17" s="15">
        <f>'Working Capital &amp; Financing'!F23</f>
        <v>193.22100000000003</v>
      </c>
      <c r="G17" s="15">
        <f>'Working Capital &amp; Financing'!G23</f>
        <v>202.88205000000005</v>
      </c>
      <c r="H17" s="15">
        <f>'Working Capital &amp; Financing'!H23</f>
        <v>213.02615250000005</v>
      </c>
      <c r="I17" s="15">
        <f>'Working Capital &amp; Financing'!I23</f>
        <v>223.67746012500007</v>
      </c>
      <c r="L17" s="6"/>
      <c r="M17" s="2"/>
      <c r="N17" s="2"/>
      <c r="O17" s="2"/>
      <c r="P17" s="2"/>
    </row>
    <row r="19" spans="1:16" s="3" customFormat="1" ht="24" customHeight="1">
      <c r="A19" s="13" t="s">
        <v>60</v>
      </c>
      <c r="B19" s="12" t="s">
        <v>1</v>
      </c>
      <c r="C19" s="12" t="s">
        <v>2</v>
      </c>
      <c r="D19" s="12" t="s">
        <v>3</v>
      </c>
      <c r="E19" s="12" t="s">
        <v>4</v>
      </c>
    </row>
    <row r="20" spans="1:16" ht="16.95" customHeight="1">
      <c r="A20" s="14" t="s">
        <v>47</v>
      </c>
      <c r="B20" s="15">
        <v>5052.741</v>
      </c>
      <c r="C20" s="15">
        <v>5867.348</v>
      </c>
      <c r="D20" s="15">
        <v>6413.1450000000004</v>
      </c>
      <c r="E20" s="15">
        <v>7255.7539999999999</v>
      </c>
      <c r="L20" s="6"/>
      <c r="M20" s="25"/>
      <c r="N20" s="25"/>
      <c r="O20" s="25"/>
      <c r="P20" s="25"/>
    </row>
    <row r="21" spans="1:16" ht="16.95" customHeight="1">
      <c r="A21" s="14" t="s">
        <v>72</v>
      </c>
      <c r="B21" s="22">
        <v>2854.5349999999999</v>
      </c>
      <c r="C21" s="22">
        <v>3253.9070000000002</v>
      </c>
      <c r="D21" s="22">
        <v>3519.3989999999999</v>
      </c>
      <c r="E21" s="22">
        <v>3987.0889999999999</v>
      </c>
    </row>
    <row r="22" spans="1:16" ht="16.95" customHeight="1">
      <c r="A22" s="14" t="s">
        <v>11</v>
      </c>
      <c r="B22" s="23">
        <v>720.31200000000001</v>
      </c>
      <c r="C22" s="23">
        <v>844.87099999999998</v>
      </c>
      <c r="D22" s="23">
        <v>930.16800000000001</v>
      </c>
      <c r="E22" s="23">
        <v>1093.289</v>
      </c>
      <c r="F22" s="1"/>
      <c r="L22" s="6"/>
    </row>
    <row r="23" spans="1:16" ht="16.95" customHeight="1">
      <c r="A23" s="14" t="s">
        <v>12</v>
      </c>
      <c r="B23" s="15">
        <v>331.79199999999997</v>
      </c>
      <c r="C23" s="15">
        <v>348.142</v>
      </c>
      <c r="D23" s="15">
        <v>382.80500000000001</v>
      </c>
      <c r="E23" s="15">
        <v>429.053</v>
      </c>
      <c r="L23" s="6"/>
      <c r="M23" s="9"/>
      <c r="N23" s="9"/>
      <c r="O23" s="9"/>
      <c r="P23" s="9"/>
    </row>
    <row r="24" spans="1:16" ht="16.95" customHeight="1">
      <c r="A24" s="14" t="s">
        <v>17</v>
      </c>
      <c r="B24" s="24">
        <v>115.39400000000001</v>
      </c>
      <c r="C24" s="24">
        <v>144.84200000000001</v>
      </c>
      <c r="D24" s="24">
        <v>163.78200000000001</v>
      </c>
      <c r="E24" s="24">
        <v>184.02</v>
      </c>
      <c r="L24" s="6"/>
      <c r="M24" s="7"/>
      <c r="N24" s="7"/>
      <c r="O24" s="7"/>
      <c r="P24" s="7"/>
    </row>
    <row r="25" spans="1:16" ht="16.95" customHeight="1">
      <c r="A25" s="14" t="s">
        <v>70</v>
      </c>
      <c r="B25" s="15">
        <v>274.24400000000003</v>
      </c>
      <c r="C25" s="15">
        <v>340.41899999999998</v>
      </c>
      <c r="D25" s="15">
        <v>378.351</v>
      </c>
      <c r="E25" s="15">
        <v>454.74900000000002</v>
      </c>
    </row>
    <row r="26" spans="1:16" ht="16.95" customHeight="1">
      <c r="A26" s="14" t="s">
        <v>73</v>
      </c>
      <c r="B26" s="24">
        <v>101.261</v>
      </c>
      <c r="C26" s="24">
        <v>313.91500000000002</v>
      </c>
      <c r="D26" s="24">
        <v>122.685</v>
      </c>
      <c r="E26" s="24">
        <v>331.56900000000002</v>
      </c>
    </row>
    <row r="27" spans="1:16" ht="16.95" customHeight="1">
      <c r="A27" s="14" t="s">
        <v>61</v>
      </c>
      <c r="B27" s="15">
        <v>56.29</v>
      </c>
      <c r="C27" s="15">
        <v>32.473999999999997</v>
      </c>
      <c r="D27" s="15">
        <v>46.637999999999998</v>
      </c>
      <c r="E27" s="15">
        <v>38.5</v>
      </c>
    </row>
    <row r="28" spans="1:16" ht="16.95" customHeight="1">
      <c r="A28" s="14" t="s">
        <v>74</v>
      </c>
      <c r="B28" s="22">
        <v>957.17200000000003</v>
      </c>
      <c r="C28" s="22">
        <v>916.81200000000001</v>
      </c>
      <c r="D28" s="22">
        <v>921.09500000000003</v>
      </c>
      <c r="E28" s="22">
        <v>1103.175</v>
      </c>
    </row>
    <row r="29" spans="1:16" ht="16.95" customHeight="1">
      <c r="A29" s="14" t="s">
        <v>75</v>
      </c>
      <c r="B29" s="15">
        <v>336.86200000000002</v>
      </c>
      <c r="C29" s="15">
        <v>334.35700000000003</v>
      </c>
      <c r="D29" s="15">
        <v>354.9</v>
      </c>
      <c r="E29" s="15">
        <v>461.76600000000002</v>
      </c>
    </row>
    <row r="30" spans="1:16" ht="16.95" customHeight="1">
      <c r="A30" s="14" t="s">
        <v>76</v>
      </c>
      <c r="B30" s="22">
        <v>802.75</v>
      </c>
      <c r="C30" s="22">
        <v>950.99400000000003</v>
      </c>
      <c r="D30" s="22">
        <v>1046.3900000000001</v>
      </c>
      <c r="E30" s="22">
        <v>1258.499</v>
      </c>
    </row>
    <row r="31" spans="1:16" ht="16.95" customHeight="1">
      <c r="A31" s="14" t="s">
        <v>83</v>
      </c>
      <c r="B31" s="15">
        <v>92.956000000000003</v>
      </c>
      <c r="C31" s="15">
        <v>103.923</v>
      </c>
      <c r="D31" s="15">
        <v>116.238</v>
      </c>
      <c r="E31" s="15">
        <v>104.806</v>
      </c>
    </row>
    <row r="32" spans="1:16" ht="16.95" customHeight="1">
      <c r="A32" s="14" t="s">
        <v>63</v>
      </c>
      <c r="B32" s="16">
        <v>164.654</v>
      </c>
      <c r="C32" s="16">
        <v>167.83500000000001</v>
      </c>
      <c r="D32" s="16">
        <v>180.68899999999999</v>
      </c>
      <c r="E32" s="16">
        <v>178.28100000000001</v>
      </c>
    </row>
    <row r="33" spans="1:5" ht="16.95" customHeight="1">
      <c r="A33" s="14" t="s">
        <v>62</v>
      </c>
      <c r="B33" s="15">
        <v>1699.7550000000001</v>
      </c>
      <c r="C33" s="15">
        <v>1788.55</v>
      </c>
      <c r="D33" s="15">
        <v>2109.4450000000002</v>
      </c>
      <c r="E33" s="15">
        <v>2397.2089999999998</v>
      </c>
    </row>
    <row r="34" spans="1:5" ht="16.95" customHeight="1">
      <c r="A34" s="27" t="s">
        <v>77</v>
      </c>
      <c r="B34" s="28">
        <v>2251.9029999999998</v>
      </c>
      <c r="C34" s="28">
        <v>2264.3939999999998</v>
      </c>
      <c r="D34" s="28">
        <v>2282.6790000000001</v>
      </c>
      <c r="E34" s="28">
        <v>2625.1210000000001</v>
      </c>
    </row>
    <row r="35" spans="1:5" ht="16.95" customHeight="1">
      <c r="A35" s="14" t="s">
        <v>78</v>
      </c>
      <c r="B35" s="15">
        <v>1960.7429999999999</v>
      </c>
      <c r="C35" s="15">
        <v>2069.2289999999998</v>
      </c>
      <c r="D35" s="15">
        <v>2426.9769999999999</v>
      </c>
      <c r="E35" s="15">
        <v>2770.473</v>
      </c>
    </row>
    <row r="36" spans="1:5" ht="16.95" customHeight="1">
      <c r="A36" s="14" t="s">
        <v>64</v>
      </c>
      <c r="B36" s="16">
        <v>4819.6559999999999</v>
      </c>
      <c r="C36" s="16">
        <v>5263.607</v>
      </c>
      <c r="D36" s="16">
        <v>6482.5919999999996</v>
      </c>
      <c r="E36" s="16">
        <v>7558.3519999999999</v>
      </c>
    </row>
    <row r="37" spans="1:5" ht="16.95" customHeight="1">
      <c r="A37" s="14" t="s">
        <v>65</v>
      </c>
      <c r="B37" s="23">
        <v>4791.2460000000001</v>
      </c>
      <c r="C37" s="23">
        <v>4882.759</v>
      </c>
      <c r="D37" s="23">
        <v>5294.3339999999998</v>
      </c>
      <c r="E37" s="23">
        <v>6102.4639999999999</v>
      </c>
    </row>
    <row r="38" spans="1:5" ht="16.95" customHeight="1">
      <c r="A38" s="14" t="s">
        <v>71</v>
      </c>
      <c r="B38" s="15">
        <v>28.41</v>
      </c>
      <c r="C38" s="15">
        <v>380.84800000000001</v>
      </c>
      <c r="D38" s="15">
        <v>1188.258</v>
      </c>
      <c r="E38" s="15">
        <v>1455.8879999999999</v>
      </c>
    </row>
    <row r="39" spans="1:5" ht="16.95" customHeight="1">
      <c r="A39" s="14" t="s">
        <v>79</v>
      </c>
      <c r="B39" s="17">
        <v>869.04300000000001</v>
      </c>
      <c r="C39" s="17">
        <v>1530.954</v>
      </c>
      <c r="D39" s="17">
        <v>1644.1389999999999</v>
      </c>
      <c r="E39" s="17">
        <v>1761.1559999999999</v>
      </c>
    </row>
    <row r="40" spans="1:5" ht="16.95" customHeight="1">
      <c r="A40" s="14" t="s">
        <v>66</v>
      </c>
      <c r="B40" s="15">
        <v>134.04900000000001</v>
      </c>
      <c r="C40" s="15">
        <v>252.673</v>
      </c>
      <c r="D40" s="15">
        <v>212.828</v>
      </c>
      <c r="E40" s="15">
        <v>248.74700000000001</v>
      </c>
    </row>
    <row r="41" spans="1:5" ht="16.95" customHeight="1">
      <c r="A41" s="14" t="s">
        <v>67</v>
      </c>
      <c r="B41" s="17">
        <v>22.777999999999999</v>
      </c>
      <c r="C41" s="17">
        <v>26.091000000000001</v>
      </c>
      <c r="D41" s="17">
        <v>30.622</v>
      </c>
      <c r="E41" s="17">
        <v>24.033999999999999</v>
      </c>
    </row>
    <row r="42" spans="1:5" ht="16.95" customHeight="1">
      <c r="A42" s="14" t="s">
        <v>80</v>
      </c>
      <c r="B42" s="15">
        <v>156.827</v>
      </c>
      <c r="C42" s="15">
        <v>278.76400000000001</v>
      </c>
      <c r="D42" s="15">
        <v>243.45</v>
      </c>
      <c r="E42" s="15">
        <v>272.78100000000001</v>
      </c>
    </row>
    <row r="43" spans="1:5" ht="16.95" customHeight="1">
      <c r="A43" s="14" t="s">
        <v>81</v>
      </c>
      <c r="B43" s="22">
        <v>-351.21800000000002</v>
      </c>
      <c r="C43" s="22">
        <v>52.543999999999997</v>
      </c>
      <c r="D43" s="22">
        <v>-6.7519999999999998</v>
      </c>
      <c r="E43" s="22">
        <v>-55.874000000000002</v>
      </c>
    </row>
    <row r="44" spans="1:5" ht="16.95" customHeight="1">
      <c r="A44" s="14" t="s">
        <v>68</v>
      </c>
      <c r="B44" s="15">
        <v>253.566</v>
      </c>
      <c r="C44" s="15">
        <v>284.83600000000001</v>
      </c>
      <c r="D44" s="15">
        <v>317.82900000000001</v>
      </c>
      <c r="E44" s="15">
        <v>390.33300000000003</v>
      </c>
    </row>
    <row r="45" spans="1:5" ht="16.95" customHeight="1">
      <c r="A45" s="14" t="s">
        <v>82</v>
      </c>
      <c r="B45" s="22">
        <v>688.99599999999998</v>
      </c>
      <c r="C45" s="22">
        <v>655.86900000000003</v>
      </c>
      <c r="D45" s="22">
        <v>1070.712</v>
      </c>
      <c r="E45" s="22">
        <v>854.41399999999999</v>
      </c>
    </row>
    <row r="46" spans="1:5" ht="16.95" customHeight="1">
      <c r="A46" s="14" t="s">
        <v>69</v>
      </c>
      <c r="B46" s="15">
        <v>62.975000000000001</v>
      </c>
      <c r="C46" s="15">
        <v>76.131</v>
      </c>
      <c r="D46" s="15">
        <v>97.244</v>
      </c>
      <c r="E46" s="15">
        <v>113.196</v>
      </c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0874-5041-4F9C-B5F3-C2E230805551}">
  <dimension ref="A1:I47"/>
  <sheetViews>
    <sheetView showGridLines="0" zoomScaleNormal="100" workbookViewId="0">
      <selection activeCell="K9" sqref="K9"/>
    </sheetView>
  </sheetViews>
  <sheetFormatPr defaultRowHeight="14.4"/>
  <cols>
    <col min="1" max="1" width="32.44140625" bestFit="1" customWidth="1"/>
    <col min="2" max="5" width="9" bestFit="1" customWidth="1"/>
    <col min="6" max="9" width="8.5546875" bestFit="1" customWidth="1"/>
  </cols>
  <sheetData>
    <row r="1" spans="1:9" ht="36" customHeight="1">
      <c r="A1" s="62" t="s">
        <v>230</v>
      </c>
      <c r="B1" s="63"/>
      <c r="C1" s="63"/>
      <c r="D1" s="63"/>
      <c r="E1" s="63"/>
      <c r="F1" s="63"/>
      <c r="G1" s="63"/>
      <c r="H1" s="63"/>
      <c r="I1" s="63"/>
    </row>
    <row r="2" spans="1:9">
      <c r="A2" s="11"/>
    </row>
    <row r="3" spans="1:9" ht="24" customHeight="1">
      <c r="A3" s="13" t="s">
        <v>37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26" t="s">
        <v>20</v>
      </c>
      <c r="B4" s="26">
        <v>1486</v>
      </c>
      <c r="C4" s="26">
        <f>B4+C5</f>
        <v>1551</v>
      </c>
      <c r="D4" s="26">
        <f t="shared" ref="D4:E4" si="0">C4+D5</f>
        <v>1616</v>
      </c>
      <c r="E4" s="26">
        <f t="shared" si="0"/>
        <v>1691</v>
      </c>
      <c r="F4" s="26">
        <f t="shared" ref="F4" si="1">E4+F5</f>
        <v>1761</v>
      </c>
      <c r="G4" s="26">
        <f t="shared" ref="G4" si="2">F4+G5</f>
        <v>1831</v>
      </c>
      <c r="H4" s="26">
        <f t="shared" ref="H4" si="3">G4+H5</f>
        <v>1901</v>
      </c>
      <c r="I4" s="26">
        <f t="shared" ref="I4" si="4">H4+I5</f>
        <v>1966</v>
      </c>
    </row>
    <row r="5" spans="1:9" ht="16.95" customHeight="1">
      <c r="A5" s="26" t="s">
        <v>21</v>
      </c>
      <c r="B5" s="26">
        <v>65</v>
      </c>
      <c r="C5" s="26">
        <v>65</v>
      </c>
      <c r="D5" s="26">
        <v>65</v>
      </c>
      <c r="E5" s="26">
        <v>75</v>
      </c>
      <c r="F5" s="26">
        <v>70</v>
      </c>
      <c r="G5" s="26">
        <v>70</v>
      </c>
      <c r="H5" s="26">
        <v>70</v>
      </c>
      <c r="I5" s="26">
        <v>65</v>
      </c>
    </row>
    <row r="6" spans="1:9" ht="16.95" customHeight="1">
      <c r="A6" s="26" t="s">
        <v>22</v>
      </c>
      <c r="B6" s="33">
        <f>(B4/1421)-1</f>
        <v>4.574243490499641E-2</v>
      </c>
      <c r="C6" s="33">
        <f>(C4/B4)-1</f>
        <v>4.3741588156123834E-2</v>
      </c>
      <c r="D6" s="33">
        <f t="shared" ref="D6:E6" si="5">(D4/C4)-1</f>
        <v>4.1908446163765323E-2</v>
      </c>
      <c r="E6" s="33">
        <f t="shared" si="5"/>
        <v>4.6410891089109008E-2</v>
      </c>
      <c r="F6" s="33">
        <f t="shared" ref="F6" si="6">(F4/E4)-1</f>
        <v>4.139562389118856E-2</v>
      </c>
      <c r="G6" s="33">
        <f t="shared" ref="G6" si="7">(G4/F4)-1</f>
        <v>3.9750141964792762E-2</v>
      </c>
      <c r="H6" s="33">
        <f t="shared" ref="H6" si="8">(H4/G4)-1</f>
        <v>3.8230475150191179E-2</v>
      </c>
      <c r="I6" s="33">
        <f t="shared" ref="I6" si="9">(I4/H4)-1</f>
        <v>3.419253024723834E-2</v>
      </c>
    </row>
    <row r="8" spans="1:9" ht="24" customHeight="1">
      <c r="A8" s="13" t="s">
        <v>237</v>
      </c>
      <c r="B8" s="12" t="s">
        <v>1</v>
      </c>
      <c r="C8" s="12" t="s">
        <v>2</v>
      </c>
      <c r="D8" s="12" t="s">
        <v>3</v>
      </c>
      <c r="E8" s="12" t="s">
        <v>4</v>
      </c>
      <c r="F8" s="12" t="s">
        <v>5</v>
      </c>
      <c r="G8" s="12" t="s">
        <v>6</v>
      </c>
      <c r="H8" s="12" t="s">
        <v>7</v>
      </c>
      <c r="I8" s="12" t="s">
        <v>8</v>
      </c>
    </row>
    <row r="9" spans="1:9" ht="16.95" customHeight="1">
      <c r="A9" s="26" t="s">
        <v>238</v>
      </c>
      <c r="B9" s="26">
        <v>154</v>
      </c>
      <c r="C9" s="26">
        <v>168</v>
      </c>
      <c r="D9" s="26">
        <v>183</v>
      </c>
      <c r="E9" s="26">
        <v>204</v>
      </c>
      <c r="F9" s="26">
        <v>213</v>
      </c>
      <c r="G9" s="26">
        <v>221</v>
      </c>
      <c r="H9" s="26">
        <v>229</v>
      </c>
      <c r="I9" s="26">
        <v>237</v>
      </c>
    </row>
    <row r="10" spans="1:9" ht="16.95" customHeight="1">
      <c r="A10" s="26" t="s">
        <v>239</v>
      </c>
      <c r="B10" s="26">
        <v>132</v>
      </c>
      <c r="C10" s="26">
        <v>137</v>
      </c>
      <c r="D10" s="26">
        <v>148</v>
      </c>
      <c r="E10" s="26">
        <v>156</v>
      </c>
      <c r="F10" s="26">
        <v>163</v>
      </c>
      <c r="G10" s="26">
        <v>169</v>
      </c>
      <c r="H10" s="26">
        <v>175</v>
      </c>
      <c r="I10" s="26">
        <v>181</v>
      </c>
    </row>
    <row r="11" spans="1:9" ht="16.95" customHeight="1">
      <c r="A11" s="26" t="s">
        <v>240</v>
      </c>
      <c r="B11" s="26">
        <v>47</v>
      </c>
      <c r="C11" s="26">
        <v>55</v>
      </c>
      <c r="D11" s="26">
        <v>58</v>
      </c>
      <c r="E11" s="26">
        <v>58</v>
      </c>
      <c r="F11" s="26">
        <v>60</v>
      </c>
      <c r="G11" s="26">
        <v>63</v>
      </c>
      <c r="H11" s="26">
        <v>65</v>
      </c>
      <c r="I11" s="26">
        <v>67</v>
      </c>
    </row>
    <row r="12" spans="1:9" ht="16.95" customHeight="1">
      <c r="A12" s="26" t="s">
        <v>241</v>
      </c>
      <c r="B12" s="26">
        <v>44</v>
      </c>
      <c r="C12" s="26">
        <v>47</v>
      </c>
      <c r="D12" s="26">
        <v>47</v>
      </c>
      <c r="E12" s="26">
        <v>48</v>
      </c>
      <c r="F12" s="26">
        <v>50</v>
      </c>
      <c r="G12" s="26">
        <v>52</v>
      </c>
      <c r="H12" s="26">
        <v>54</v>
      </c>
      <c r="I12" s="26">
        <v>56</v>
      </c>
    </row>
    <row r="13" spans="1:9" ht="16.95" customHeight="1">
      <c r="A13" s="26" t="s">
        <v>242</v>
      </c>
      <c r="B13" s="26">
        <v>26</v>
      </c>
      <c r="C13" s="26">
        <v>27</v>
      </c>
      <c r="D13" s="26">
        <v>27</v>
      </c>
      <c r="E13" s="26">
        <v>29</v>
      </c>
      <c r="F13" s="26">
        <v>30</v>
      </c>
      <c r="G13" s="26">
        <v>31</v>
      </c>
      <c r="H13" s="26">
        <v>33</v>
      </c>
      <c r="I13" s="26">
        <v>34</v>
      </c>
    </row>
    <row r="14" spans="1:9" ht="16.95" customHeight="1">
      <c r="A14" s="26" t="s">
        <v>243</v>
      </c>
      <c r="B14" s="26">
        <v>1</v>
      </c>
      <c r="C14" s="26">
        <v>1</v>
      </c>
      <c r="D14" s="26">
        <v>1</v>
      </c>
      <c r="E14" s="26">
        <v>1</v>
      </c>
      <c r="F14" s="26">
        <v>1</v>
      </c>
      <c r="G14" s="26">
        <v>1</v>
      </c>
      <c r="H14" s="26">
        <v>1</v>
      </c>
      <c r="I14" s="26">
        <v>1</v>
      </c>
    </row>
    <row r="15" spans="1:9" ht="16.95" customHeight="1">
      <c r="A15" s="26" t="s">
        <v>244</v>
      </c>
      <c r="B15" s="26">
        <v>43</v>
      </c>
      <c r="C15" s="26">
        <v>43</v>
      </c>
      <c r="D15" s="26">
        <v>45</v>
      </c>
      <c r="E15" s="26">
        <v>46</v>
      </c>
      <c r="F15" s="26">
        <v>48</v>
      </c>
      <c r="G15" s="26">
        <v>50</v>
      </c>
      <c r="H15" s="26">
        <v>52</v>
      </c>
      <c r="I15" s="26">
        <v>54</v>
      </c>
    </row>
    <row r="16" spans="1:9" ht="16.95" customHeight="1">
      <c r="A16" s="26" t="s">
        <v>245</v>
      </c>
      <c r="B16" s="26">
        <v>590</v>
      </c>
      <c r="C16" s="26">
        <v>612</v>
      </c>
      <c r="D16" s="26">
        <v>630</v>
      </c>
      <c r="E16" s="26">
        <v>656</v>
      </c>
      <c r="F16" s="26">
        <v>683</v>
      </c>
      <c r="G16" s="26">
        <v>710</v>
      </c>
      <c r="H16" s="26">
        <v>738</v>
      </c>
      <c r="I16" s="26">
        <v>763</v>
      </c>
    </row>
    <row r="17" spans="1:9" ht="16.95" customHeight="1">
      <c r="A17" s="26" t="s">
        <v>246</v>
      </c>
      <c r="B17" s="26">
        <v>5</v>
      </c>
      <c r="C17" s="26">
        <v>5</v>
      </c>
      <c r="D17" s="26">
        <v>5</v>
      </c>
      <c r="E17" s="26">
        <v>5</v>
      </c>
      <c r="F17" s="26">
        <v>5</v>
      </c>
      <c r="G17" s="26">
        <v>6</v>
      </c>
      <c r="H17" s="26">
        <v>6</v>
      </c>
      <c r="I17" s="26">
        <v>6</v>
      </c>
    </row>
    <row r="18" spans="1:9" ht="16.95" customHeight="1">
      <c r="A18" s="26" t="s">
        <v>247</v>
      </c>
      <c r="B18" s="26">
        <v>399</v>
      </c>
      <c r="C18" s="26">
        <v>409</v>
      </c>
      <c r="D18" s="26">
        <v>425</v>
      </c>
      <c r="E18" s="26">
        <v>435</v>
      </c>
      <c r="F18" s="26">
        <v>453</v>
      </c>
      <c r="G18" s="26">
        <v>471</v>
      </c>
      <c r="H18" s="26">
        <v>489</v>
      </c>
      <c r="I18" s="26">
        <v>506</v>
      </c>
    </row>
    <row r="19" spans="1:9" ht="16.95" customHeight="1">
      <c r="A19" s="26" t="s">
        <v>248</v>
      </c>
      <c r="B19" s="26">
        <v>44</v>
      </c>
      <c r="C19" s="26">
        <v>46</v>
      </c>
      <c r="D19" s="26">
        <v>46</v>
      </c>
      <c r="E19" s="26">
        <v>52</v>
      </c>
      <c r="F19" s="26">
        <v>54</v>
      </c>
      <c r="G19" s="26">
        <v>56</v>
      </c>
      <c r="H19" s="26">
        <v>58</v>
      </c>
      <c r="I19" s="26">
        <v>60</v>
      </c>
    </row>
    <row r="20" spans="1:9" ht="16.95" customHeight="1">
      <c r="A20" s="26" t="s">
        <v>249</v>
      </c>
      <c r="B20" s="26">
        <v>1</v>
      </c>
      <c r="C20" s="26">
        <v>1</v>
      </c>
      <c r="D20" s="26">
        <v>1</v>
      </c>
      <c r="E20" s="26">
        <v>1</v>
      </c>
      <c r="F20" s="26">
        <v>1</v>
      </c>
      <c r="G20" s="26">
        <v>1</v>
      </c>
      <c r="H20" s="26">
        <v>1</v>
      </c>
      <c r="I20" s="26">
        <v>1</v>
      </c>
    </row>
    <row r="21" spans="1:9" s="3" customFormat="1" ht="16.95" customHeight="1">
      <c r="A21" s="37" t="s">
        <v>250</v>
      </c>
      <c r="B21" s="37">
        <v>1486</v>
      </c>
      <c r="C21" s="37">
        <v>1551</v>
      </c>
      <c r="D21" s="37">
        <v>1616</v>
      </c>
      <c r="E21" s="37">
        <v>1691</v>
      </c>
      <c r="F21" s="37">
        <v>1761</v>
      </c>
      <c r="G21" s="37">
        <v>1831</v>
      </c>
      <c r="H21" s="37">
        <v>1901</v>
      </c>
      <c r="I21" s="37">
        <v>1966</v>
      </c>
    </row>
    <row r="23" spans="1:9" ht="24" customHeight="1">
      <c r="A23" s="13" t="s">
        <v>38</v>
      </c>
      <c r="B23" s="12"/>
      <c r="C23" s="12"/>
      <c r="D23" s="12"/>
      <c r="E23" s="12"/>
      <c r="F23" s="12"/>
      <c r="G23" s="12"/>
      <c r="H23" s="12"/>
      <c r="I23" s="12"/>
    </row>
    <row r="24" spans="1:9" ht="16.95" customHeight="1">
      <c r="A24" s="26" t="s">
        <v>23</v>
      </c>
      <c r="B24" s="33">
        <v>0.12</v>
      </c>
      <c r="C24" s="33">
        <v>0.128</v>
      </c>
      <c r="D24" s="33">
        <v>4.5999999999999999E-2</v>
      </c>
      <c r="E24" s="33">
        <v>4.2000000000000003E-2</v>
      </c>
      <c r="F24" s="33">
        <v>4.2500000000000003E-2</v>
      </c>
      <c r="G24" s="33">
        <v>0.04</v>
      </c>
      <c r="H24" s="33">
        <v>3.7499999999999999E-2</v>
      </c>
      <c r="I24" s="33">
        <v>3.5000000000000003E-2</v>
      </c>
    </row>
    <row r="25" spans="1:9" ht="16.95" customHeight="1">
      <c r="A25" s="26" t="s">
        <v>24</v>
      </c>
      <c r="B25" s="33">
        <v>0.14599999999999999</v>
      </c>
      <c r="C25" s="33">
        <v>0.123</v>
      </c>
      <c r="D25" s="33">
        <v>6.4000000000000001E-2</v>
      </c>
      <c r="E25" s="33">
        <v>2.4E-2</v>
      </c>
      <c r="F25" s="33">
        <v>2.5000000000000001E-2</v>
      </c>
      <c r="G25" s="33">
        <v>2.3E-2</v>
      </c>
      <c r="H25" s="33">
        <v>2.1000000000000001E-2</v>
      </c>
      <c r="I25" s="33">
        <v>0.02</v>
      </c>
    </row>
    <row r="26" spans="1:9" ht="16.95" customHeight="1">
      <c r="A26" s="26" t="s">
        <v>25</v>
      </c>
      <c r="B26" s="33">
        <v>-2.1999999999999999E-2</v>
      </c>
      <c r="C26" s="33">
        <v>4.0000000000000001E-3</v>
      </c>
      <c r="D26" s="33">
        <v>-1.7000000000000001E-2</v>
      </c>
      <c r="E26" s="33">
        <v>1.7000000000000001E-2</v>
      </c>
      <c r="F26" s="33">
        <v>1.7000000000000001E-2</v>
      </c>
      <c r="G26" s="33">
        <v>1.7000000000000001E-2</v>
      </c>
      <c r="H26" s="33">
        <v>1.6E-2</v>
      </c>
      <c r="I26" s="33">
        <v>1.4999999999999999E-2</v>
      </c>
    </row>
    <row r="28" spans="1:9" ht="24" customHeight="1">
      <c r="A28" s="13" t="s">
        <v>26</v>
      </c>
      <c r="B28" s="12"/>
      <c r="C28" s="12"/>
      <c r="D28" s="12"/>
      <c r="E28" s="12"/>
      <c r="F28" s="12"/>
      <c r="G28" s="12"/>
      <c r="H28" s="12"/>
      <c r="I28" s="12"/>
    </row>
    <row r="29" spans="1:9" ht="16.95" customHeight="1">
      <c r="A29" s="26" t="s">
        <v>27</v>
      </c>
      <c r="B29" s="34">
        <f>'Historical &amp; Assumptions'!B4/'Operating Drivers'!B4</f>
        <v>3.4002294751009421</v>
      </c>
      <c r="C29" s="34">
        <f>'Historical &amp; Assumptions'!C4/'Operating Drivers'!C4</f>
        <v>3.7829451966473244</v>
      </c>
      <c r="D29" s="34">
        <f>'Historical &amp; Assumptions'!D4/'Operating Drivers'!D4</f>
        <v>3.9685303217821786</v>
      </c>
      <c r="E29" s="34">
        <v>4.0220000000000002</v>
      </c>
      <c r="F29" s="34">
        <f>F33/F4</f>
        <v>4.1226516595684259</v>
      </c>
      <c r="G29" s="34">
        <f>G33/G4</f>
        <v>4.2227683750477869</v>
      </c>
      <c r="H29" s="34">
        <f>H33/H4</f>
        <v>4.3174119209559789</v>
      </c>
      <c r="I29" s="34">
        <f>I33/I4</f>
        <v>4.4126255672717916</v>
      </c>
    </row>
    <row r="30" spans="1:9" ht="16.95" customHeight="1">
      <c r="A30" s="26" t="s">
        <v>28</v>
      </c>
      <c r="B30" s="33">
        <v>0.1157</v>
      </c>
      <c r="C30" s="33">
        <f>(C29/B29)-1</f>
        <v>0.11255585081798647</v>
      </c>
      <c r="D30" s="33">
        <f t="shared" ref="D30:E30" si="10">(D29/C29)-1</f>
        <v>4.9058369996829665E-2</v>
      </c>
      <c r="E30" s="33">
        <f t="shared" si="10"/>
        <v>1.3473420607206021E-2</v>
      </c>
      <c r="F30" s="33">
        <f t="shared" ref="F30" si="11">(F29/E29)-1</f>
        <v>2.5025275874795083E-2</v>
      </c>
      <c r="G30" s="33">
        <f t="shared" ref="G30" si="12">(G29/F29)-1</f>
        <v>2.4284543965046312E-2</v>
      </c>
      <c r="H30" s="33">
        <f t="shared" ref="H30" si="13">(H29/G29)-1</f>
        <v>2.2412677538137693E-2</v>
      </c>
      <c r="I30" s="33">
        <f t="shared" ref="I30" si="14">(I29/H29)-1</f>
        <v>2.2053407934893077E-2</v>
      </c>
    </row>
    <row r="32" spans="1:9" ht="24" customHeight="1">
      <c r="A32" s="13" t="s">
        <v>29</v>
      </c>
      <c r="B32" s="12"/>
      <c r="C32" s="12"/>
      <c r="D32" s="12"/>
      <c r="E32" s="12"/>
      <c r="F32" s="12"/>
      <c r="G32" s="12"/>
      <c r="H32" s="12"/>
      <c r="I32" s="12"/>
    </row>
    <row r="33" spans="1:9" ht="16.95" customHeight="1">
      <c r="A33" s="26" t="s">
        <v>30</v>
      </c>
      <c r="B33" s="26">
        <f>'Historical &amp; Assumptions'!B4</f>
        <v>5052.741</v>
      </c>
      <c r="C33" s="26">
        <f>'Historical &amp; Assumptions'!C4</f>
        <v>5867.348</v>
      </c>
      <c r="D33" s="26">
        <f>'Historical &amp; Assumptions'!D4</f>
        <v>6413.1450000000004</v>
      </c>
      <c r="E33" s="26">
        <f>6800.927</f>
        <v>6800.9269999999997</v>
      </c>
      <c r="F33" s="34">
        <f>E33*(1+F34)</f>
        <v>7259.9895724999988</v>
      </c>
      <c r="G33" s="34">
        <f t="shared" ref="G33:I33" si="15">F33*(1+G34)</f>
        <v>7731.8888947124979</v>
      </c>
      <c r="H33" s="34">
        <f t="shared" si="15"/>
        <v>8207.4000617373167</v>
      </c>
      <c r="I33" s="34">
        <f t="shared" si="15"/>
        <v>8675.2218652563424</v>
      </c>
    </row>
    <row r="34" spans="1:9" ht="16.95" customHeight="1">
      <c r="A34" s="26" t="s">
        <v>31</v>
      </c>
      <c r="B34" s="33">
        <f>'Historical &amp; Assumptions'!B5</f>
        <v>0.16700000000000001</v>
      </c>
      <c r="C34" s="33">
        <f>'Historical &amp; Assumptions'!C5</f>
        <v>0.1612208106451527</v>
      </c>
      <c r="D34" s="33">
        <f>'Historical &amp; Assumptions'!D5</f>
        <v>9.30227762184892E-2</v>
      </c>
      <c r="E34" s="33">
        <v>6.0499999999999998E-2</v>
      </c>
      <c r="F34" s="33">
        <f>F24+F37</f>
        <v>6.7500000000000004E-2</v>
      </c>
      <c r="G34" s="33">
        <f t="shared" ref="G34:I34" si="16">G24+G37</f>
        <v>6.5000000000000002E-2</v>
      </c>
      <c r="H34" s="33">
        <f t="shared" si="16"/>
        <v>6.1499999999999999E-2</v>
      </c>
      <c r="I34" s="33">
        <f t="shared" si="16"/>
        <v>5.7000000000000002E-2</v>
      </c>
    </row>
    <row r="35" spans="1:9" ht="16.95" customHeight="1">
      <c r="A35" s="26" t="s">
        <v>23</v>
      </c>
      <c r="B35" s="33">
        <f>B24</f>
        <v>0.12</v>
      </c>
      <c r="C35" s="33">
        <f t="shared" ref="C35:E35" si="17">C24</f>
        <v>0.128</v>
      </c>
      <c r="D35" s="33">
        <f t="shared" si="17"/>
        <v>4.5999999999999999E-2</v>
      </c>
      <c r="E35" s="33">
        <f t="shared" si="17"/>
        <v>4.2000000000000003E-2</v>
      </c>
      <c r="F35" s="33">
        <f>F24</f>
        <v>4.2500000000000003E-2</v>
      </c>
      <c r="G35" s="33">
        <f t="shared" ref="G35:I35" si="18">G24</f>
        <v>0.04</v>
      </c>
      <c r="H35" s="33">
        <f t="shared" si="18"/>
        <v>3.7499999999999999E-2</v>
      </c>
      <c r="I35" s="33">
        <f t="shared" si="18"/>
        <v>3.5000000000000003E-2</v>
      </c>
    </row>
    <row r="36" spans="1:9" ht="16.95" customHeight="1">
      <c r="A36" s="26" t="s">
        <v>21</v>
      </c>
      <c r="B36" s="26">
        <f t="shared" ref="B36:I36" si="19">B5</f>
        <v>65</v>
      </c>
      <c r="C36" s="26">
        <f t="shared" si="19"/>
        <v>65</v>
      </c>
      <c r="D36" s="26">
        <f t="shared" si="19"/>
        <v>65</v>
      </c>
      <c r="E36" s="26">
        <f t="shared" si="19"/>
        <v>75</v>
      </c>
      <c r="F36" s="26">
        <f t="shared" si="19"/>
        <v>70</v>
      </c>
      <c r="G36" s="26">
        <f t="shared" si="19"/>
        <v>70</v>
      </c>
      <c r="H36" s="26">
        <f t="shared" si="19"/>
        <v>70</v>
      </c>
      <c r="I36" s="26">
        <f t="shared" si="19"/>
        <v>65</v>
      </c>
    </row>
    <row r="37" spans="1:9" ht="16.95" customHeight="1">
      <c r="A37" s="26" t="s">
        <v>41</v>
      </c>
      <c r="B37" s="33">
        <f>B34-B35</f>
        <v>4.7000000000000014E-2</v>
      </c>
      <c r="C37" s="33">
        <f>C34-C35</f>
        <v>3.3220810645152699E-2</v>
      </c>
      <c r="D37" s="33">
        <f>D34-D35</f>
        <v>4.7022776218489201E-2</v>
      </c>
      <c r="E37" s="33">
        <f>E34-E35</f>
        <v>1.8499999999999996E-2</v>
      </c>
      <c r="F37" s="33">
        <v>2.5000000000000001E-2</v>
      </c>
      <c r="G37" s="33">
        <v>2.5000000000000001E-2</v>
      </c>
      <c r="H37" s="33">
        <v>2.4E-2</v>
      </c>
      <c r="I37" s="33">
        <v>2.1999999999999999E-2</v>
      </c>
    </row>
    <row r="39" spans="1:9" ht="24" customHeight="1">
      <c r="A39" s="13" t="s">
        <v>32</v>
      </c>
      <c r="B39" s="12"/>
      <c r="C39" s="12"/>
      <c r="D39" s="12"/>
      <c r="E39" s="12"/>
      <c r="F39" s="12"/>
      <c r="G39" s="12"/>
      <c r="H39" s="12"/>
      <c r="I39" s="12"/>
    </row>
    <row r="40" spans="1:9" ht="16.95" customHeight="1">
      <c r="A40" s="26" t="s">
        <v>20</v>
      </c>
      <c r="B40" s="35">
        <v>0</v>
      </c>
      <c r="C40" s="35">
        <v>0</v>
      </c>
      <c r="D40" s="35">
        <v>0</v>
      </c>
      <c r="E40" s="35">
        <v>402</v>
      </c>
      <c r="F40" s="35">
        <f>E40+F41</f>
        <v>422</v>
      </c>
      <c r="G40" s="35">
        <f t="shared" ref="G40:I40" si="20">F40+G41</f>
        <v>452</v>
      </c>
      <c r="H40" s="35">
        <f t="shared" si="20"/>
        <v>487</v>
      </c>
      <c r="I40" s="35">
        <f t="shared" si="20"/>
        <v>527</v>
      </c>
    </row>
    <row r="41" spans="1:9" ht="16.95" customHeight="1">
      <c r="A41" s="26" t="s">
        <v>21</v>
      </c>
      <c r="B41" s="35">
        <v>0</v>
      </c>
      <c r="C41" s="35">
        <v>0</v>
      </c>
      <c r="D41" s="35">
        <v>0</v>
      </c>
      <c r="E41" s="35">
        <v>7</v>
      </c>
      <c r="F41" s="35">
        <v>20</v>
      </c>
      <c r="G41" s="35">
        <v>30</v>
      </c>
      <c r="H41" s="35">
        <v>35</v>
      </c>
      <c r="I41" s="35">
        <v>40</v>
      </c>
    </row>
    <row r="42" spans="1:9" ht="16.95" customHeight="1">
      <c r="A42" s="26" t="s">
        <v>22</v>
      </c>
      <c r="B42" s="35">
        <v>0</v>
      </c>
      <c r="C42" s="35">
        <v>0</v>
      </c>
      <c r="D42" s="35">
        <v>0</v>
      </c>
      <c r="E42" s="35">
        <v>0</v>
      </c>
      <c r="F42" s="36">
        <f>(F40/E40)-1</f>
        <v>4.9751243781094523E-2</v>
      </c>
      <c r="G42" s="36">
        <f t="shared" ref="G42:I42" si="21">(G40/F40)-1</f>
        <v>7.1090047393364886E-2</v>
      </c>
      <c r="H42" s="36">
        <f t="shared" si="21"/>
        <v>7.7433628318584136E-2</v>
      </c>
      <c r="I42" s="36">
        <f t="shared" si="21"/>
        <v>8.2135523613963146E-2</v>
      </c>
    </row>
    <row r="43" spans="1:9" ht="16.95" customHeight="1">
      <c r="A43" s="26" t="s">
        <v>33</v>
      </c>
      <c r="B43" s="35">
        <v>0</v>
      </c>
      <c r="C43" s="35">
        <v>0</v>
      </c>
      <c r="D43" s="35">
        <v>0</v>
      </c>
      <c r="E43" s="35">
        <v>454.827</v>
      </c>
      <c r="F43" s="35">
        <v>770</v>
      </c>
      <c r="G43" s="35">
        <v>831.6</v>
      </c>
      <c r="H43" s="35">
        <v>906.44399999999996</v>
      </c>
      <c r="I43" s="35">
        <v>997.08799999999997</v>
      </c>
    </row>
    <row r="45" spans="1:9" ht="24" customHeight="1">
      <c r="A45" s="13" t="s">
        <v>34</v>
      </c>
      <c r="B45" s="12"/>
      <c r="C45" s="12"/>
      <c r="D45" s="12"/>
      <c r="E45" s="12"/>
      <c r="F45" s="12"/>
      <c r="G45" s="12"/>
      <c r="H45" s="12"/>
      <c r="I45" s="12"/>
    </row>
    <row r="46" spans="1:9" ht="16.95" customHeight="1">
      <c r="A46" s="26" t="s">
        <v>35</v>
      </c>
      <c r="B46" s="26">
        <f>'Historical &amp; Assumptions'!B4</f>
        <v>5052.741</v>
      </c>
      <c r="C46" s="26">
        <f>'Historical &amp; Assumptions'!C4</f>
        <v>5867.348</v>
      </c>
      <c r="D46" s="26">
        <f>'Historical &amp; Assumptions'!D4</f>
        <v>6413.1450000000004</v>
      </c>
      <c r="E46" s="26">
        <f>'Historical &amp; Assumptions'!E4</f>
        <v>7255.7539999999999</v>
      </c>
      <c r="F46" s="34">
        <f>F33+F43</f>
        <v>8029.9895724999988</v>
      </c>
      <c r="G46" s="34">
        <f>G33+G43</f>
        <v>8563.4888947124982</v>
      </c>
      <c r="H46" s="34">
        <f>H33+H43</f>
        <v>9113.8440617373162</v>
      </c>
      <c r="I46" s="34">
        <f>I33+I43</f>
        <v>9672.3098652563422</v>
      </c>
    </row>
    <row r="47" spans="1:9" ht="16.95" customHeight="1">
      <c r="A47" s="26" t="s">
        <v>36</v>
      </c>
      <c r="B47" s="33">
        <f>'Historical &amp; Assumptions'!B5</f>
        <v>0.16700000000000001</v>
      </c>
      <c r="C47" s="33">
        <f>'Historical &amp; Assumptions'!C5</f>
        <v>0.1612208106451527</v>
      </c>
      <c r="D47" s="33">
        <f>'Historical &amp; Assumptions'!D5</f>
        <v>9.30227762184892E-2</v>
      </c>
      <c r="E47" s="33">
        <f>'Historical &amp; Assumptions'!E5</f>
        <v>0.13138779803045142</v>
      </c>
      <c r="F47" s="33">
        <f>(F46/E46)-1</f>
        <v>0.10670642534187325</v>
      </c>
      <c r="G47" s="33">
        <f t="shared" ref="G47:I47" si="22">(G46/F46)-1</f>
        <v>6.6438358032189004E-2</v>
      </c>
      <c r="H47" s="33">
        <f t="shared" si="22"/>
        <v>6.4267633646916122E-2</v>
      </c>
      <c r="I47" s="33">
        <f t="shared" si="22"/>
        <v>6.1276646795355605E-2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3629-293F-488B-89F7-FD1D0A92D081}">
  <dimension ref="A1:I21"/>
  <sheetViews>
    <sheetView showGridLines="0" workbookViewId="0">
      <selection activeCell="L6" sqref="L6"/>
    </sheetView>
  </sheetViews>
  <sheetFormatPr defaultRowHeight="14.4"/>
  <cols>
    <col min="1" max="1" width="29" bestFit="1" customWidth="1"/>
    <col min="2" max="5" width="9" bestFit="1" customWidth="1"/>
    <col min="6" max="9" width="12" bestFit="1" customWidth="1"/>
  </cols>
  <sheetData>
    <row r="1" spans="1:9" ht="43.2" customHeight="1">
      <c r="A1" s="62" t="s">
        <v>229</v>
      </c>
      <c r="B1" s="63"/>
      <c r="C1" s="63"/>
      <c r="D1" s="63"/>
      <c r="E1" s="63"/>
      <c r="F1" s="63"/>
      <c r="G1" s="63"/>
      <c r="H1" s="63"/>
      <c r="I1" s="63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37" t="s">
        <v>39</v>
      </c>
      <c r="B4" s="26"/>
      <c r="C4" s="26"/>
      <c r="D4" s="26"/>
      <c r="E4" s="26"/>
      <c r="F4" s="26"/>
      <c r="G4" s="26"/>
      <c r="H4" s="26"/>
      <c r="I4" s="26"/>
    </row>
    <row r="5" spans="1:9" ht="16.95" customHeight="1">
      <c r="A5" s="26" t="s">
        <v>20</v>
      </c>
      <c r="B5" s="26">
        <f>'Operating Drivers'!B4</f>
        <v>1486</v>
      </c>
      <c r="C5" s="26">
        <f>'Operating Drivers'!C4</f>
        <v>1551</v>
      </c>
      <c r="D5" s="26">
        <f>'Operating Drivers'!D4</f>
        <v>1616</v>
      </c>
      <c r="E5" s="26">
        <f>'Operating Drivers'!E4</f>
        <v>1691</v>
      </c>
      <c r="F5" s="26">
        <f>'Operating Drivers'!F4</f>
        <v>1761</v>
      </c>
      <c r="G5" s="26">
        <f>'Operating Drivers'!G4</f>
        <v>1831</v>
      </c>
      <c r="H5" s="26">
        <f>'Operating Drivers'!H4</f>
        <v>1901</v>
      </c>
      <c r="I5" s="26">
        <f>'Operating Drivers'!I4</f>
        <v>1966</v>
      </c>
    </row>
    <row r="6" spans="1:9" ht="16.95" customHeight="1">
      <c r="A6" s="26" t="s">
        <v>21</v>
      </c>
      <c r="B6" s="26">
        <f>'Operating Drivers'!B5</f>
        <v>65</v>
      </c>
      <c r="C6" s="26">
        <f>'Operating Drivers'!C5</f>
        <v>65</v>
      </c>
      <c r="D6" s="26">
        <f>'Operating Drivers'!D5</f>
        <v>65</v>
      </c>
      <c r="E6" s="26">
        <f>'Operating Drivers'!E5</f>
        <v>75</v>
      </c>
      <c r="F6" s="26">
        <f>'Operating Drivers'!F5</f>
        <v>70</v>
      </c>
      <c r="G6" s="26">
        <f>'Operating Drivers'!G5</f>
        <v>70</v>
      </c>
      <c r="H6" s="26">
        <f>'Operating Drivers'!H5</f>
        <v>70</v>
      </c>
      <c r="I6" s="26">
        <f>'Operating Drivers'!I5</f>
        <v>65</v>
      </c>
    </row>
    <row r="7" spans="1:9" ht="16.95" customHeight="1">
      <c r="A7" s="26" t="s">
        <v>40</v>
      </c>
      <c r="B7" s="38">
        <f>'Operating Drivers'!B24</f>
        <v>0.12</v>
      </c>
      <c r="C7" s="38">
        <f>'Operating Drivers'!C24</f>
        <v>0.128</v>
      </c>
      <c r="D7" s="38">
        <f>'Operating Drivers'!D24</f>
        <v>4.5999999999999999E-2</v>
      </c>
      <c r="E7" s="38">
        <f>'Operating Drivers'!E24</f>
        <v>4.2000000000000003E-2</v>
      </c>
      <c r="F7" s="38">
        <f>'Operating Drivers'!F24</f>
        <v>4.2500000000000003E-2</v>
      </c>
      <c r="G7" s="38">
        <f>'Operating Drivers'!G24</f>
        <v>0.04</v>
      </c>
      <c r="H7" s="38">
        <f>'Operating Drivers'!H24</f>
        <v>3.7499999999999999E-2</v>
      </c>
      <c r="I7" s="38">
        <f>'Operating Drivers'!I24</f>
        <v>3.5000000000000003E-2</v>
      </c>
    </row>
    <row r="8" spans="1:9" ht="16.95" customHeight="1">
      <c r="A8" s="26" t="s">
        <v>41</v>
      </c>
      <c r="B8" s="38">
        <f>'Operating Drivers'!B37</f>
        <v>4.7000000000000014E-2</v>
      </c>
      <c r="C8" s="38">
        <f>'Operating Drivers'!C37</f>
        <v>3.3220810645152699E-2</v>
      </c>
      <c r="D8" s="38">
        <f>'Operating Drivers'!D37</f>
        <v>4.7022776218489201E-2</v>
      </c>
      <c r="E8" s="38">
        <f>'Operating Drivers'!E37</f>
        <v>1.8499999999999996E-2</v>
      </c>
      <c r="F8" s="38">
        <f>'Operating Drivers'!F37</f>
        <v>2.5000000000000001E-2</v>
      </c>
      <c r="G8" s="38">
        <f>'Operating Drivers'!G37</f>
        <v>2.5000000000000001E-2</v>
      </c>
      <c r="H8" s="38">
        <f>'Operating Drivers'!H37</f>
        <v>2.4E-2</v>
      </c>
      <c r="I8" s="38">
        <f>'Operating Drivers'!I37</f>
        <v>2.1999999999999999E-2</v>
      </c>
    </row>
    <row r="9" spans="1:9" ht="16.95" customHeight="1">
      <c r="A9" s="26" t="s">
        <v>31</v>
      </c>
      <c r="B9" s="38">
        <f>'Operating Drivers'!B34</f>
        <v>0.16700000000000001</v>
      </c>
      <c r="C9" s="38">
        <f>'Operating Drivers'!C34</f>
        <v>0.1612208106451527</v>
      </c>
      <c r="D9" s="38">
        <f>'Operating Drivers'!D34</f>
        <v>9.30227762184892E-2</v>
      </c>
      <c r="E9" s="38">
        <f>'Operating Drivers'!E34</f>
        <v>6.0499999999999998E-2</v>
      </c>
      <c r="F9" s="38">
        <f>'Operating Drivers'!F34</f>
        <v>6.7500000000000004E-2</v>
      </c>
      <c r="G9" s="38">
        <f>'Operating Drivers'!G34</f>
        <v>6.5000000000000002E-2</v>
      </c>
      <c r="H9" s="38">
        <f>'Operating Drivers'!H34</f>
        <v>6.1499999999999999E-2</v>
      </c>
      <c r="I9" s="38">
        <f>'Operating Drivers'!I34</f>
        <v>5.7000000000000002E-2</v>
      </c>
    </row>
    <row r="10" spans="1:9" ht="16.95" customHeight="1">
      <c r="A10" s="26" t="s">
        <v>30</v>
      </c>
      <c r="B10" s="26">
        <f>'Operating Drivers'!B33</f>
        <v>5052.741</v>
      </c>
      <c r="C10" s="26">
        <f>'Operating Drivers'!C33</f>
        <v>5867.348</v>
      </c>
      <c r="D10" s="26">
        <f>'Operating Drivers'!D33</f>
        <v>6413.1450000000004</v>
      </c>
      <c r="E10" s="26">
        <f>'Operating Drivers'!E33</f>
        <v>6800.9269999999997</v>
      </c>
      <c r="F10" s="26">
        <f>'Operating Drivers'!F33</f>
        <v>7259.9895724999988</v>
      </c>
      <c r="G10" s="26">
        <f>'Operating Drivers'!G33</f>
        <v>7731.8888947124979</v>
      </c>
      <c r="H10" s="26">
        <f>'Operating Drivers'!H33</f>
        <v>8207.4000617373167</v>
      </c>
      <c r="I10" s="26">
        <f>'Operating Drivers'!I33</f>
        <v>8675.2218652563424</v>
      </c>
    </row>
    <row r="11" spans="1:9">
      <c r="A11" t="s">
        <v>42</v>
      </c>
    </row>
    <row r="12" spans="1:9" ht="16.95" customHeight="1">
      <c r="A12" s="37" t="s">
        <v>43</v>
      </c>
      <c r="B12" s="26"/>
      <c r="C12" s="26"/>
      <c r="D12" s="26"/>
      <c r="E12" s="26"/>
      <c r="F12" s="26"/>
      <c r="G12" s="26"/>
      <c r="H12" s="26"/>
      <c r="I12" s="26"/>
    </row>
    <row r="13" spans="1:9" ht="16.95" customHeight="1">
      <c r="A13" s="26" t="s">
        <v>20</v>
      </c>
      <c r="B13" s="26"/>
      <c r="C13" s="26"/>
      <c r="D13" s="26"/>
      <c r="E13" s="26">
        <f>'Operating Drivers'!E40</f>
        <v>402</v>
      </c>
      <c r="F13" s="26">
        <f>'Operating Drivers'!F40</f>
        <v>422</v>
      </c>
      <c r="G13" s="26">
        <f>'Operating Drivers'!G40</f>
        <v>452</v>
      </c>
      <c r="H13" s="26">
        <f>'Operating Drivers'!H40</f>
        <v>487</v>
      </c>
      <c r="I13" s="26">
        <f>'Operating Drivers'!I40</f>
        <v>527</v>
      </c>
    </row>
    <row r="14" spans="1:9" ht="16.95" customHeight="1">
      <c r="A14" s="26" t="s">
        <v>21</v>
      </c>
      <c r="B14" s="26"/>
      <c r="C14" s="26"/>
      <c r="D14" s="26"/>
      <c r="E14" s="26">
        <f>'Operating Drivers'!E41</f>
        <v>7</v>
      </c>
      <c r="F14" s="26">
        <f>'Operating Drivers'!F41</f>
        <v>20</v>
      </c>
      <c r="G14" s="26">
        <f>'Operating Drivers'!G41</f>
        <v>30</v>
      </c>
      <c r="H14" s="26">
        <f>'Operating Drivers'!H41</f>
        <v>35</v>
      </c>
      <c r="I14" s="26">
        <f>'Operating Drivers'!I41</f>
        <v>40</v>
      </c>
    </row>
    <row r="15" spans="1:9" ht="16.95" customHeight="1">
      <c r="A15" s="26" t="s">
        <v>33</v>
      </c>
      <c r="B15" s="26"/>
      <c r="C15" s="26"/>
      <c r="D15" s="26"/>
      <c r="E15" s="26">
        <f>'Operating Drivers'!E43</f>
        <v>454.827</v>
      </c>
      <c r="F15" s="26">
        <f>'Operating Drivers'!F43</f>
        <v>770</v>
      </c>
      <c r="G15" s="26">
        <f>'Operating Drivers'!G43</f>
        <v>831.6</v>
      </c>
      <c r="H15" s="26">
        <f>'Operating Drivers'!H43</f>
        <v>906.44399999999996</v>
      </c>
      <c r="I15" s="26">
        <f>'Operating Drivers'!I43</f>
        <v>997.08799999999997</v>
      </c>
    </row>
    <row r="17" spans="1:9" ht="16.95" customHeight="1">
      <c r="A17" s="37" t="s">
        <v>44</v>
      </c>
      <c r="B17" s="26"/>
      <c r="C17" s="26"/>
      <c r="D17" s="26"/>
      <c r="E17" s="26"/>
      <c r="F17" s="26"/>
      <c r="G17" s="26"/>
      <c r="H17" s="26"/>
      <c r="I17" s="26"/>
    </row>
    <row r="18" spans="1:9" ht="16.95" customHeight="1">
      <c r="A18" s="26" t="s">
        <v>30</v>
      </c>
      <c r="B18" s="26" cm="1">
        <f t="array" ref="B18:I18">B10:I10</f>
        <v>5052.741</v>
      </c>
      <c r="C18" s="26">
        <v>5867.348</v>
      </c>
      <c r="D18" s="26">
        <v>6413.1450000000004</v>
      </c>
      <c r="E18" s="26">
        <v>6800.9269999999997</v>
      </c>
      <c r="F18" s="26">
        <v>7259.9895724999988</v>
      </c>
      <c r="G18" s="26">
        <v>7731.8888947124979</v>
      </c>
      <c r="H18" s="26">
        <v>8207.4000617373167</v>
      </c>
      <c r="I18" s="26">
        <v>8675.2218652563424</v>
      </c>
    </row>
    <row r="19" spans="1:9" ht="16.95" customHeight="1">
      <c r="A19" s="26" t="s">
        <v>33</v>
      </c>
      <c r="B19" s="26" cm="1">
        <f t="array" ref="B19:I19">B15:I15</f>
        <v>0</v>
      </c>
      <c r="C19" s="26">
        <v>0</v>
      </c>
      <c r="D19" s="26">
        <v>0</v>
      </c>
      <c r="E19" s="26">
        <v>454.827</v>
      </c>
      <c r="F19" s="26">
        <v>770</v>
      </c>
      <c r="G19" s="26">
        <v>831.6</v>
      </c>
      <c r="H19" s="26">
        <v>906.44399999999996</v>
      </c>
      <c r="I19" s="26">
        <v>997.08799999999997</v>
      </c>
    </row>
    <row r="20" spans="1:9" ht="16.95" customHeight="1">
      <c r="A20" s="26" t="s">
        <v>45</v>
      </c>
      <c r="B20" s="26">
        <f>B18+B19</f>
        <v>5052.741</v>
      </c>
      <c r="C20" s="26">
        <f t="shared" ref="C20:I20" si="0">C18+C19</f>
        <v>5867.348</v>
      </c>
      <c r="D20" s="26">
        <f t="shared" si="0"/>
        <v>6413.1450000000004</v>
      </c>
      <c r="E20" s="26">
        <f t="shared" si="0"/>
        <v>7255.7539999999999</v>
      </c>
      <c r="F20" s="26">
        <f t="shared" si="0"/>
        <v>8029.9895724999988</v>
      </c>
      <c r="G20" s="26">
        <f t="shared" si="0"/>
        <v>8563.4888947124982</v>
      </c>
      <c r="H20" s="26">
        <f t="shared" si="0"/>
        <v>9113.8440617373162</v>
      </c>
      <c r="I20" s="26">
        <f t="shared" si="0"/>
        <v>9672.3098652563422</v>
      </c>
    </row>
    <row r="21" spans="1:9" ht="16.95" customHeight="1">
      <c r="A21" s="26" t="s">
        <v>36</v>
      </c>
      <c r="B21" s="38">
        <f>'Operating Drivers'!B47</f>
        <v>0.16700000000000001</v>
      </c>
      <c r="C21" s="38">
        <f>'Operating Drivers'!C47</f>
        <v>0.1612208106451527</v>
      </c>
      <c r="D21" s="38">
        <f>'Operating Drivers'!D47</f>
        <v>9.30227762184892E-2</v>
      </c>
      <c r="E21" s="38">
        <f>'Operating Drivers'!E47</f>
        <v>0.13138779803045142</v>
      </c>
      <c r="F21" s="38">
        <f>'Operating Drivers'!F47</f>
        <v>0.10670642534187325</v>
      </c>
      <c r="G21" s="38">
        <f>'Operating Drivers'!G47</f>
        <v>6.6438358032189004E-2</v>
      </c>
      <c r="H21" s="38">
        <f>'Operating Drivers'!H47</f>
        <v>6.4267633646916122E-2</v>
      </c>
      <c r="I21" s="38">
        <f>'Operating Drivers'!I47</f>
        <v>6.1276646795355605E-2</v>
      </c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3E96-D2ED-4A03-ADE7-75A1B61D6BFD}">
  <dimension ref="A1:J19"/>
  <sheetViews>
    <sheetView showGridLines="0" workbookViewId="0">
      <selection activeCell="K4" sqref="K4"/>
    </sheetView>
  </sheetViews>
  <sheetFormatPr defaultRowHeight="14.4"/>
  <cols>
    <col min="1" max="1" width="30.44140625" bestFit="1" customWidth="1"/>
    <col min="2" max="2" width="11.6640625" bestFit="1" customWidth="1"/>
    <col min="3" max="9" width="9.5546875" bestFit="1" customWidth="1"/>
  </cols>
  <sheetData>
    <row r="1" spans="1:10" s="19" customFormat="1" ht="36" customHeight="1">
      <c r="A1" s="62" t="s">
        <v>228</v>
      </c>
      <c r="B1" s="63"/>
      <c r="C1" s="63"/>
      <c r="D1" s="63"/>
      <c r="E1" s="63"/>
      <c r="F1" s="63"/>
      <c r="G1" s="63"/>
      <c r="H1" s="63"/>
      <c r="I1" s="63"/>
    </row>
    <row r="3" spans="1:10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10" s="3" customFormat="1" ht="16.95" customHeight="1">
      <c r="A4" s="41" t="s">
        <v>47</v>
      </c>
      <c r="B4" s="37">
        <f>'Historical &amp; Assumptions'!B4</f>
        <v>5052.741</v>
      </c>
      <c r="C4" s="37">
        <f>'Historical &amp; Assumptions'!C4</f>
        <v>5867.348</v>
      </c>
      <c r="D4" s="37">
        <f>'Historical &amp; Assumptions'!D4</f>
        <v>6413.1450000000004</v>
      </c>
      <c r="E4" s="37">
        <f>'Historical &amp; Assumptions'!E4</f>
        <v>7255.7539999999999</v>
      </c>
      <c r="F4" s="37">
        <f>Revenue!F20</f>
        <v>8029.9895724999988</v>
      </c>
      <c r="G4" s="37">
        <f>Revenue!G20</f>
        <v>8563.4888947124982</v>
      </c>
      <c r="H4" s="37">
        <f>Revenue!H20</f>
        <v>9113.8440617373162</v>
      </c>
      <c r="I4" s="37">
        <f>Revenue!I20</f>
        <v>9672.3098652563422</v>
      </c>
    </row>
    <row r="5" spans="1:10" ht="16.95" customHeight="1">
      <c r="A5" s="39" t="s">
        <v>46</v>
      </c>
      <c r="B5" s="38">
        <f>Revenue!B21</f>
        <v>0.16700000000000001</v>
      </c>
      <c r="C5" s="38">
        <f>Revenue!C21</f>
        <v>0.1612208106451527</v>
      </c>
      <c r="D5" s="38">
        <f>Revenue!D21</f>
        <v>9.30227762184892E-2</v>
      </c>
      <c r="E5" s="38">
        <f>Revenue!E21</f>
        <v>0.13138779803045142</v>
      </c>
      <c r="F5" s="38">
        <f>Revenue!F21</f>
        <v>0.10670642534187325</v>
      </c>
      <c r="G5" s="38">
        <f>Revenue!G21</f>
        <v>6.6438358032189004E-2</v>
      </c>
      <c r="H5" s="38">
        <f>Revenue!H21</f>
        <v>6.4267633646916122E-2</v>
      </c>
      <c r="I5" s="38">
        <f>Revenue!I21</f>
        <v>6.1276646795355605E-2</v>
      </c>
    </row>
    <row r="6" spans="1:10" s="3" customFormat="1" ht="16.95" customHeight="1">
      <c r="A6" s="41" t="s">
        <v>72</v>
      </c>
      <c r="B6" s="37">
        <v>2854.5349999999999</v>
      </c>
      <c r="C6" s="37">
        <v>3253.9070000000002</v>
      </c>
      <c r="D6" s="37">
        <v>3519.3989999999999</v>
      </c>
      <c r="E6" s="37">
        <v>3987.0889999999999</v>
      </c>
      <c r="F6" s="37">
        <f>F4-F7</f>
        <v>4488.7641710274993</v>
      </c>
      <c r="G6" s="37">
        <f>G4-G7</f>
        <v>4769.8633143548614</v>
      </c>
      <c r="H6" s="37">
        <f>H4-H7</f>
        <v>5058.18345426421</v>
      </c>
      <c r="I6" s="37">
        <f>I4-I7</f>
        <v>5348.7873554867574</v>
      </c>
    </row>
    <row r="7" spans="1:10" ht="16.95" customHeight="1">
      <c r="A7" s="39" t="s">
        <v>9</v>
      </c>
      <c r="B7" s="26">
        <v>2198.2060000000001</v>
      </c>
      <c r="C7" s="26">
        <v>2613.4409999999998</v>
      </c>
      <c r="D7" s="26">
        <v>2893.7460000000001</v>
      </c>
      <c r="E7" s="26">
        <v>3268.665</v>
      </c>
      <c r="F7" s="26">
        <f>F4*F8</f>
        <v>3541.2254014724995</v>
      </c>
      <c r="G7" s="26">
        <f>G4*G8</f>
        <v>3793.6255803576369</v>
      </c>
      <c r="H7" s="26">
        <f>H4*H8</f>
        <v>4055.6606074731058</v>
      </c>
      <c r="I7" s="26">
        <f>I4*I8</f>
        <v>4323.5225097695848</v>
      </c>
    </row>
    <row r="8" spans="1:10" ht="16.95" customHeight="1">
      <c r="A8" s="39" t="s">
        <v>10</v>
      </c>
      <c r="B8" s="33">
        <f>'Historical &amp; Assumptions'!B8</f>
        <v>0.43505218256783795</v>
      </c>
      <c r="C8" s="33">
        <f>'Historical &amp; Assumptions'!C8</f>
        <v>0.44542116813251914</v>
      </c>
      <c r="D8" s="33">
        <f>'Historical &amp; Assumptions'!D8</f>
        <v>0.45122104677190361</v>
      </c>
      <c r="E8" s="33">
        <f>'Historical &amp; Assumptions'!E8</f>
        <v>0.45049280887968363</v>
      </c>
      <c r="F8" s="33">
        <v>0.441</v>
      </c>
      <c r="G8" s="33">
        <v>0.443</v>
      </c>
      <c r="H8" s="33">
        <v>0.44500000000000001</v>
      </c>
      <c r="I8" s="33">
        <v>0.44700000000000001</v>
      </c>
    </row>
    <row r="9" spans="1:10" ht="16.95" customHeight="1">
      <c r="A9" s="39" t="s">
        <v>217</v>
      </c>
      <c r="B9" s="26">
        <f>'Historical &amp; Assumptions'!B9</f>
        <v>720.31200000000001</v>
      </c>
      <c r="C9" s="26">
        <f>'Historical &amp; Assumptions'!C9</f>
        <v>844.87099999999998</v>
      </c>
      <c r="D9" s="26">
        <f>'Historical &amp; Assumptions'!D9</f>
        <v>930.16800000000001</v>
      </c>
      <c r="E9" s="26">
        <f>'Historical &amp; Assumptions'!E9</f>
        <v>1093.289</v>
      </c>
      <c r="F9" s="26">
        <f>F4*F10</f>
        <v>1204.4984358749998</v>
      </c>
      <c r="G9" s="26">
        <f>G4*G10</f>
        <v>1275.9598453121621</v>
      </c>
      <c r="H9" s="26">
        <f>H4*H10</f>
        <v>1348.8489211371227</v>
      </c>
      <c r="I9" s="26">
        <f>I4*I10</f>
        <v>1421.8295501926823</v>
      </c>
    </row>
    <row r="10" spans="1:10" ht="16.95" customHeight="1">
      <c r="A10" s="39" t="s">
        <v>132</v>
      </c>
      <c r="B10" s="38">
        <f>'Historical &amp; Assumptions'!B10</f>
        <v>0.14255866271396062</v>
      </c>
      <c r="C10" s="38">
        <f>'Historical &amp; Assumptions'!C10</f>
        <v>0.14399537917300967</v>
      </c>
      <c r="D10" s="38">
        <f>'Historical &amp; Assumptions'!D10</f>
        <v>0.14504084969231165</v>
      </c>
      <c r="E10" s="38">
        <f>'Historical &amp; Assumptions'!E10</f>
        <v>0.15067889567369566</v>
      </c>
      <c r="F10" s="38">
        <v>0.15</v>
      </c>
      <c r="G10" s="38">
        <v>0.14899999999999999</v>
      </c>
      <c r="H10" s="38">
        <v>0.14799999999999999</v>
      </c>
      <c r="I10" s="38">
        <v>0.14699999999999999</v>
      </c>
    </row>
    <row r="11" spans="1:10" s="3" customFormat="1" ht="16.95" customHeight="1">
      <c r="A11" s="41" t="s">
        <v>48</v>
      </c>
      <c r="B11" s="37">
        <f>B7-B9</f>
        <v>1477.8940000000002</v>
      </c>
      <c r="C11" s="37">
        <f>C7-C9</f>
        <v>1768.5699999999997</v>
      </c>
      <c r="D11" s="37">
        <f>D7-D9</f>
        <v>1963.578</v>
      </c>
      <c r="E11" s="37">
        <f>E7-E9</f>
        <v>2175.3760000000002</v>
      </c>
      <c r="F11" s="37">
        <f>F4*F12</f>
        <v>2336.7269655974997</v>
      </c>
      <c r="G11" s="37">
        <f>G4*G12</f>
        <v>2517.6657350454743</v>
      </c>
      <c r="H11" s="37">
        <f>H4*H12</f>
        <v>2706.8116863359828</v>
      </c>
      <c r="I11" s="37">
        <f>I4*I12</f>
        <v>2901.6929595769025</v>
      </c>
    </row>
    <row r="12" spans="1:10" ht="16.95" customHeight="1">
      <c r="A12" s="39" t="s">
        <v>14</v>
      </c>
      <c r="B12" s="33">
        <f>'Historical &amp; Assumptions'!B14</f>
        <v>0.29249351985387734</v>
      </c>
      <c r="C12" s="33">
        <f>'Historical &amp; Assumptions'!C14</f>
        <v>0.30142578895950944</v>
      </c>
      <c r="D12" s="33">
        <f>'Historical &amp; Assumptions'!D14</f>
        <v>0.30618019707959199</v>
      </c>
      <c r="E12" s="33">
        <f>'Historical &amp; Assumptions'!E14</f>
        <v>0.29981391320598799</v>
      </c>
      <c r="F12" s="33">
        <v>0.29099999999999998</v>
      </c>
      <c r="G12" s="33">
        <v>0.29399999999999998</v>
      </c>
      <c r="H12" s="33">
        <v>0.29699999999999999</v>
      </c>
      <c r="I12" s="33">
        <v>0.3</v>
      </c>
    </row>
    <row r="13" spans="1:10" ht="16.95" customHeight="1">
      <c r="A13" s="39" t="s">
        <v>49</v>
      </c>
      <c r="B13" s="26">
        <f>'Historical &amp; Assumptions'!B11</f>
        <v>331.79199999999997</v>
      </c>
      <c r="C13" s="26">
        <f>'Historical &amp; Assumptions'!C11</f>
        <v>348.142</v>
      </c>
      <c r="D13" s="26">
        <f>'Historical &amp; Assumptions'!D11</f>
        <v>382.80500000000001</v>
      </c>
      <c r="E13" s="26">
        <f>'Historical &amp; Assumptions'!E11</f>
        <v>429.053</v>
      </c>
      <c r="F13" s="26">
        <f>F14*F4</f>
        <v>489.47748019059304</v>
      </c>
      <c r="G13" s="26">
        <f>G14*G4</f>
        <v>521.99756026818932</v>
      </c>
      <c r="H13" s="26">
        <f>H14*H4</f>
        <v>555.54510823608939</v>
      </c>
      <c r="I13" s="26">
        <f>I14*I4</f>
        <v>589.58704961235981</v>
      </c>
    </row>
    <row r="14" spans="1:10" ht="16.95" customHeight="1">
      <c r="A14" s="39" t="s">
        <v>219</v>
      </c>
      <c r="B14" s="38">
        <f>'Historical &amp; Assumptions'!B12</f>
        <v>6.5665744592885322E-2</v>
      </c>
      <c r="C14" s="38">
        <f>'Historical &amp; Assumptions'!C12</f>
        <v>5.9335495354971277E-2</v>
      </c>
      <c r="D14" s="38">
        <f>'Historical &amp; Assumptions'!D12</f>
        <v>5.9690682184793883E-2</v>
      </c>
      <c r="E14" s="38">
        <f>'Historical &amp; Assumptions'!E12</f>
        <v>5.9132793090835217E-2</v>
      </c>
      <c r="F14" s="38">
        <f>AVERAGE(B14:E14)</f>
        <v>6.0956178805871432E-2</v>
      </c>
      <c r="G14" s="38">
        <v>6.0956178805871432E-2</v>
      </c>
      <c r="H14" s="38">
        <v>6.0956178805871432E-2</v>
      </c>
      <c r="I14" s="38">
        <v>6.0956178805871432E-2</v>
      </c>
      <c r="J14" s="5"/>
    </row>
    <row r="15" spans="1:10" s="3" customFormat="1" ht="16.95" customHeight="1">
      <c r="A15" s="41" t="s">
        <v>97</v>
      </c>
      <c r="B15" s="37">
        <f t="shared" ref="B15:I15" si="0">B11-B13</f>
        <v>1146.1020000000003</v>
      </c>
      <c r="C15" s="37">
        <f t="shared" si="0"/>
        <v>1420.4279999999997</v>
      </c>
      <c r="D15" s="37">
        <f t="shared" si="0"/>
        <v>1580.7729999999999</v>
      </c>
      <c r="E15" s="37">
        <f t="shared" si="0"/>
        <v>1746.3230000000003</v>
      </c>
      <c r="F15" s="37">
        <f t="shared" si="0"/>
        <v>1847.2494854069066</v>
      </c>
      <c r="G15" s="37">
        <f t="shared" si="0"/>
        <v>1995.668174777285</v>
      </c>
      <c r="H15" s="37">
        <f t="shared" si="0"/>
        <v>2151.2665780998932</v>
      </c>
      <c r="I15" s="37">
        <f t="shared" si="0"/>
        <v>2312.1059099645427</v>
      </c>
    </row>
    <row r="16" spans="1:10" ht="16.95" customHeight="1">
      <c r="A16" s="39" t="s">
        <v>16</v>
      </c>
      <c r="B16" s="33">
        <f>'Historical &amp; Assumptions'!B16</f>
        <v>0.22682777526099207</v>
      </c>
      <c r="C16" s="33">
        <f>'Historical &amp; Assumptions'!C16</f>
        <v>0.24209029360453815</v>
      </c>
      <c r="D16" s="33">
        <f>'Historical &amp; Assumptions'!D16</f>
        <v>0.24648951489479806</v>
      </c>
      <c r="E16" s="33">
        <f>'Historical &amp; Assumptions'!E16</f>
        <v>0.2406811201151528</v>
      </c>
      <c r="F16" s="33">
        <v>0.23200000000000001</v>
      </c>
      <c r="G16" s="33">
        <v>0.23499999999999999</v>
      </c>
      <c r="H16" s="33">
        <v>0.23799999999999999</v>
      </c>
      <c r="I16" s="33">
        <v>0.24099999999999999</v>
      </c>
    </row>
    <row r="17" spans="1:9" ht="16.95" customHeight="1">
      <c r="A17" s="39" t="s">
        <v>100</v>
      </c>
      <c r="B17" s="26">
        <f>B15-'Working Capital &amp; Financing'!B23</f>
        <v>1030.7080000000003</v>
      </c>
      <c r="C17" s="26">
        <f>C15-'Working Capital &amp; Financing'!C23</f>
        <v>1275.5859999999996</v>
      </c>
      <c r="D17" s="26">
        <f>D15-'Working Capital &amp; Financing'!D23</f>
        <v>1416.991</v>
      </c>
      <c r="E17" s="26">
        <f>E15-'Working Capital &amp; Financing'!E23</f>
        <v>1562.3030000000003</v>
      </c>
      <c r="F17" s="26">
        <f>F15-'Working Capital &amp; Financing'!F23</f>
        <v>1654.0284854069066</v>
      </c>
      <c r="G17" s="26">
        <f>G15-'Working Capital &amp; Financing'!G23</f>
        <v>1792.7861247772848</v>
      </c>
      <c r="H17" s="26">
        <f>H15-'Working Capital &amp; Financing'!H23</f>
        <v>1938.2404255998931</v>
      </c>
      <c r="I17" s="26">
        <f>I15-'Working Capital &amp; Financing'!I23</f>
        <v>2088.4284498395427</v>
      </c>
    </row>
    <row r="18" spans="1:9" ht="16.95" customHeight="1">
      <c r="A18" s="39" t="s">
        <v>101</v>
      </c>
      <c r="B18" s="40">
        <v>0.255</v>
      </c>
      <c r="C18" s="40">
        <v>0.252</v>
      </c>
      <c r="D18" s="40">
        <v>0.245</v>
      </c>
      <c r="E18" s="40">
        <v>0.25800000000000001</v>
      </c>
      <c r="F18" s="40">
        <v>0.255</v>
      </c>
      <c r="G18" s="40">
        <v>0.255</v>
      </c>
      <c r="H18" s="40">
        <v>0.255</v>
      </c>
      <c r="I18" s="40">
        <v>0.255</v>
      </c>
    </row>
    <row r="19" spans="1:9" ht="16.95" customHeight="1">
      <c r="A19" s="39" t="s">
        <v>102</v>
      </c>
      <c r="B19" s="34">
        <f>B17*B18</f>
        <v>262.8305400000001</v>
      </c>
      <c r="C19" s="34">
        <f t="shared" ref="C19:I19" si="1">C17*C18</f>
        <v>321.4476719999999</v>
      </c>
      <c r="D19" s="34">
        <f t="shared" si="1"/>
        <v>347.16279500000002</v>
      </c>
      <c r="E19" s="34">
        <f t="shared" si="1"/>
        <v>403.07417400000008</v>
      </c>
      <c r="F19" s="34">
        <f t="shared" si="1"/>
        <v>421.77726377876121</v>
      </c>
      <c r="G19" s="34">
        <f t="shared" si="1"/>
        <v>457.16046181820764</v>
      </c>
      <c r="H19" s="34">
        <f t="shared" si="1"/>
        <v>494.25130852797275</v>
      </c>
      <c r="I19" s="34">
        <f t="shared" si="1"/>
        <v>532.54925470908336</v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AA3F-65C0-476E-8D7F-6A72678BC31D}">
  <dimension ref="A1:I21"/>
  <sheetViews>
    <sheetView showGridLines="0" workbookViewId="0">
      <selection activeCell="M12" sqref="M12"/>
    </sheetView>
  </sheetViews>
  <sheetFormatPr defaultRowHeight="14.4"/>
  <cols>
    <col min="1" max="1" width="28" bestFit="1" customWidth="1"/>
    <col min="10" max="10" width="12" bestFit="1" customWidth="1"/>
  </cols>
  <sheetData>
    <row r="1" spans="1:9" ht="36" customHeight="1">
      <c r="A1" s="62" t="s">
        <v>227</v>
      </c>
      <c r="B1" s="64"/>
      <c r="C1" s="64"/>
      <c r="D1" s="64"/>
      <c r="E1" s="64"/>
      <c r="F1" s="64"/>
      <c r="G1" s="64"/>
      <c r="H1" s="64"/>
      <c r="I1" s="64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37" t="s">
        <v>50</v>
      </c>
      <c r="B4" s="26"/>
      <c r="C4" s="26"/>
      <c r="D4" s="26"/>
      <c r="E4" s="26"/>
      <c r="F4" s="26"/>
      <c r="G4" s="26"/>
      <c r="H4" s="26"/>
      <c r="I4" s="26"/>
    </row>
    <row r="5" spans="1:9" ht="16.95" customHeight="1">
      <c r="A5" s="26" t="s">
        <v>47</v>
      </c>
      <c r="B5" s="26">
        <f>'Historical &amp; Assumptions'!B4</f>
        <v>5052.741</v>
      </c>
      <c r="C5" s="26">
        <f>'Historical &amp; Assumptions'!C4</f>
        <v>5867.348</v>
      </c>
      <c r="D5" s="26">
        <f>'Historical &amp; Assumptions'!D4</f>
        <v>6413.1450000000004</v>
      </c>
      <c r="E5" s="26">
        <f>'Historical &amp; Assumptions'!E4</f>
        <v>7255.7539999999999</v>
      </c>
      <c r="F5" s="26">
        <f>'Historical &amp; Assumptions'!F4</f>
        <v>8029.9895724999988</v>
      </c>
      <c r="G5" s="26">
        <f>'Historical &amp; Assumptions'!G4</f>
        <v>8563.4888947124982</v>
      </c>
      <c r="H5" s="26">
        <f>'Historical &amp; Assumptions'!H4</f>
        <v>9113.8440617373162</v>
      </c>
      <c r="I5" s="26">
        <f>'Historical &amp; Assumptions'!I4</f>
        <v>9672.3098652563422</v>
      </c>
    </row>
    <row r="6" spans="1:9" ht="16.95" customHeight="1">
      <c r="A6" s="26" t="s">
        <v>51</v>
      </c>
      <c r="B6" s="26">
        <f>'Historical &amp; Assumptions'!B42</f>
        <v>156.827</v>
      </c>
      <c r="C6" s="26">
        <f>'Historical &amp; Assumptions'!C42</f>
        <v>278.76400000000001</v>
      </c>
      <c r="D6" s="26">
        <f>'Historical &amp; Assumptions'!D42</f>
        <v>243.45</v>
      </c>
      <c r="E6" s="26">
        <f>'Historical &amp; Assumptions'!E42</f>
        <v>272.78100000000001</v>
      </c>
      <c r="F6" s="26">
        <f>F7*F5</f>
        <v>313.16959332749997</v>
      </c>
      <c r="G6" s="26">
        <f t="shared" ref="G6:I6" si="0">G7*G5</f>
        <v>333.97606689378745</v>
      </c>
      <c r="H6" s="26">
        <f t="shared" si="0"/>
        <v>346.326074346018</v>
      </c>
      <c r="I6" s="26">
        <f t="shared" si="0"/>
        <v>367.54777487974098</v>
      </c>
    </row>
    <row r="7" spans="1:9" ht="16.95" customHeight="1">
      <c r="A7" s="26" t="s">
        <v>220</v>
      </c>
      <c r="B7" s="33">
        <f>B6/B5</f>
        <v>3.1038004916539359E-2</v>
      </c>
      <c r="C7" s="33">
        <f t="shared" ref="C7:E7" si="1">C6/C5</f>
        <v>4.7511073145823292E-2</v>
      </c>
      <c r="D7" s="33">
        <f t="shared" si="1"/>
        <v>3.7961093971834406E-2</v>
      </c>
      <c r="E7" s="33">
        <f t="shared" si="1"/>
        <v>3.759512794948671E-2</v>
      </c>
      <c r="F7" s="33">
        <v>3.9E-2</v>
      </c>
      <c r="G7" s="33">
        <v>3.9E-2</v>
      </c>
      <c r="H7" s="33">
        <v>3.7999999999999999E-2</v>
      </c>
      <c r="I7" s="33">
        <v>3.7999999999999999E-2</v>
      </c>
    </row>
    <row r="9" spans="1:9" ht="16.95" customHeight="1">
      <c r="A9" s="37" t="s">
        <v>52</v>
      </c>
      <c r="B9" s="26"/>
      <c r="C9" s="26"/>
      <c r="D9" s="26"/>
      <c r="E9" s="26"/>
      <c r="F9" s="26"/>
      <c r="G9" s="26"/>
      <c r="H9" s="26"/>
      <c r="I9" s="26"/>
    </row>
    <row r="10" spans="1:9" ht="16.95" customHeight="1">
      <c r="A10" s="26" t="s">
        <v>53</v>
      </c>
      <c r="B10" s="26">
        <v>761.87599999999998</v>
      </c>
      <c r="C10" s="26">
        <f>B14</f>
        <v>802.75</v>
      </c>
      <c r="D10" s="26">
        <f t="shared" ref="D10:F10" si="2">C14</f>
        <v>950.99400000000003</v>
      </c>
      <c r="E10" s="26">
        <f t="shared" si="2"/>
        <v>1046.3900000000001</v>
      </c>
      <c r="F10" s="26">
        <f t="shared" si="2"/>
        <v>1258.499</v>
      </c>
      <c r="G10" s="26">
        <f>F14</f>
        <v>1414.5017339947501</v>
      </c>
      <c r="H10" s="26">
        <f>G14</f>
        <v>1573.6300207996837</v>
      </c>
      <c r="I10" s="26">
        <f>H14</f>
        <v>1727.9604856311316</v>
      </c>
    </row>
    <row r="11" spans="1:9" ht="16.95" customHeight="1">
      <c r="A11" s="26" t="s">
        <v>66</v>
      </c>
      <c r="B11" s="26">
        <f>'Historical &amp; Assumptions'!B40</f>
        <v>134.04900000000001</v>
      </c>
      <c r="C11" s="26">
        <f>'Historical &amp; Assumptions'!C40</f>
        <v>252.673</v>
      </c>
      <c r="D11" s="26">
        <f>'Historical &amp; Assumptions'!D40</f>
        <v>212.828</v>
      </c>
      <c r="E11" s="26">
        <f>'Historical &amp; Assumptions'!E40</f>
        <v>248.74700000000001</v>
      </c>
      <c r="F11" s="26">
        <f>0.9*F6</f>
        <v>281.85263399474997</v>
      </c>
      <c r="G11" s="26">
        <f t="shared" ref="G11:I11" si="3">0.9*G6</f>
        <v>300.57846020440871</v>
      </c>
      <c r="H11" s="26">
        <f t="shared" si="3"/>
        <v>311.69346691141624</v>
      </c>
      <c r="I11" s="26">
        <f t="shared" si="3"/>
        <v>330.7929973917669</v>
      </c>
    </row>
    <row r="12" spans="1:9" ht="16.95" customHeight="1">
      <c r="A12" s="26" t="s">
        <v>54</v>
      </c>
      <c r="B12" s="26">
        <f>'Historical &amp; Assumptions'!B31</f>
        <v>92.956000000000003</v>
      </c>
      <c r="C12" s="26">
        <f>'Historical &amp; Assumptions'!C31</f>
        <v>103.923</v>
      </c>
      <c r="D12" s="26">
        <f>'Historical &amp; Assumptions'!D31</f>
        <v>116.238</v>
      </c>
      <c r="E12" s="26">
        <f>'Historical &amp; Assumptions'!E31</f>
        <v>104.806</v>
      </c>
      <c r="F12" s="26">
        <f>F10*0.1</f>
        <v>125.84990000000001</v>
      </c>
      <c r="G12" s="26">
        <f>G10*0.1</f>
        <v>141.45017339947501</v>
      </c>
      <c r="H12" s="26">
        <f>H10*0.1</f>
        <v>157.3630020799684</v>
      </c>
      <c r="I12" s="26">
        <f>I10*0.1</f>
        <v>172.79604856311317</v>
      </c>
    </row>
    <row r="13" spans="1:9" ht="16.95" customHeight="1">
      <c r="A13" s="26" t="s">
        <v>55</v>
      </c>
      <c r="B13" s="26">
        <f>B14-B10-B11+B12</f>
        <v>-0.21899999999997988</v>
      </c>
      <c r="C13" s="26">
        <f t="shared" ref="C13:E13" si="4">C14-C10-C11+C12</f>
        <v>-0.50599999999997181</v>
      </c>
      <c r="D13" s="26">
        <f t="shared" si="4"/>
        <v>-1.1939999999999316</v>
      </c>
      <c r="E13" s="26">
        <f t="shared" si="4"/>
        <v>68.167999999999907</v>
      </c>
      <c r="F13" s="26">
        <v>0</v>
      </c>
      <c r="G13" s="26">
        <v>0</v>
      </c>
      <c r="H13" s="26">
        <v>0</v>
      </c>
      <c r="I13" s="26">
        <v>0</v>
      </c>
    </row>
    <row r="14" spans="1:9" ht="16.95" customHeight="1">
      <c r="A14" s="26" t="s">
        <v>56</v>
      </c>
      <c r="B14" s="26">
        <f>'Historical &amp; Assumptions'!B30</f>
        <v>802.75</v>
      </c>
      <c r="C14" s="26">
        <f>'Historical &amp; Assumptions'!C30</f>
        <v>950.99400000000003</v>
      </c>
      <c r="D14" s="26">
        <f>'Historical &amp; Assumptions'!D30</f>
        <v>1046.3900000000001</v>
      </c>
      <c r="E14" s="26">
        <f>'Historical &amp; Assumptions'!E30</f>
        <v>1258.499</v>
      </c>
      <c r="F14" s="26">
        <f>F10+F11+F13-F12</f>
        <v>1414.5017339947501</v>
      </c>
      <c r="G14" s="26">
        <f>G10+G11+G13-G12</f>
        <v>1573.6300207996837</v>
      </c>
      <c r="H14" s="26">
        <f>H10+H11+H13-H12</f>
        <v>1727.9604856311316</v>
      </c>
      <c r="I14" s="26">
        <f>I10+I11+I13-I12</f>
        <v>1885.9574344597856</v>
      </c>
    </row>
    <row r="16" spans="1:9" ht="16.95" customHeight="1">
      <c r="A16" s="37" t="s">
        <v>57</v>
      </c>
      <c r="B16" s="26"/>
      <c r="C16" s="26"/>
      <c r="D16" s="26"/>
      <c r="E16" s="26"/>
      <c r="F16" s="26"/>
      <c r="G16" s="26"/>
      <c r="H16" s="26"/>
      <c r="I16" s="26"/>
    </row>
    <row r="17" spans="1:9" ht="16.95" customHeight="1">
      <c r="A17" s="26" t="s">
        <v>12</v>
      </c>
      <c r="B17" s="26">
        <f>'Historical &amp; Assumptions'!B11</f>
        <v>331.79199999999997</v>
      </c>
      <c r="C17" s="26">
        <f>'Historical &amp; Assumptions'!C11</f>
        <v>348.142</v>
      </c>
      <c r="D17" s="26">
        <f>'Historical &amp; Assumptions'!D11</f>
        <v>382.80500000000001</v>
      </c>
      <c r="E17" s="26">
        <f>'Historical &amp; Assumptions'!E11</f>
        <v>429.053</v>
      </c>
      <c r="F17" s="26">
        <f>'Historical &amp; Assumptions'!F11</f>
        <v>489.47748019059304</v>
      </c>
      <c r="G17" s="26">
        <f>'Historical &amp; Assumptions'!G11</f>
        <v>521.99756026818932</v>
      </c>
      <c r="H17" s="26">
        <f>'Historical &amp; Assumptions'!H11</f>
        <v>555.54510823608939</v>
      </c>
      <c r="I17" s="26">
        <f>'Historical &amp; Assumptions'!I11</f>
        <v>589.58704961235981</v>
      </c>
    </row>
    <row r="18" spans="1:9" ht="16.95" customHeight="1">
      <c r="A18" s="26" t="s">
        <v>218</v>
      </c>
      <c r="B18" s="38">
        <f>'Historical &amp; Assumptions'!B12</f>
        <v>6.5665744592885322E-2</v>
      </c>
      <c r="C18" s="38">
        <f>'Historical &amp; Assumptions'!C12</f>
        <v>5.9335495354971277E-2</v>
      </c>
      <c r="D18" s="38">
        <f>'Historical &amp; Assumptions'!D12</f>
        <v>5.9690682184793883E-2</v>
      </c>
      <c r="E18" s="38">
        <f>'Historical &amp; Assumptions'!E12</f>
        <v>5.9132793090835217E-2</v>
      </c>
      <c r="F18" s="38">
        <f>'Historical &amp; Assumptions'!F12</f>
        <v>6.0956178805871432E-2</v>
      </c>
      <c r="G18" s="38">
        <f>'Historical &amp; Assumptions'!G12</f>
        <v>6.0956178805871432E-2</v>
      </c>
      <c r="H18" s="38">
        <f>'Historical &amp; Assumptions'!H12</f>
        <v>6.0956178805871432E-2</v>
      </c>
      <c r="I18" s="38">
        <f>'Historical &amp; Assumptions'!I12</f>
        <v>6.0956178805871432E-2</v>
      </c>
    </row>
    <row r="20" spans="1:9" ht="16.95" customHeight="1">
      <c r="A20" s="37" t="s">
        <v>58</v>
      </c>
      <c r="B20" s="26"/>
      <c r="C20" s="26"/>
      <c r="D20" s="26"/>
      <c r="E20" s="26"/>
      <c r="F20" s="26"/>
      <c r="G20" s="26"/>
      <c r="H20" s="26"/>
      <c r="I20" s="26"/>
    </row>
    <row r="21" spans="1:9" ht="16.95" customHeight="1">
      <c r="A21" s="26" t="s">
        <v>59</v>
      </c>
      <c r="B21" s="26">
        <f>ROUND(B14-B10-B11+B12-B13,2)</f>
        <v>0</v>
      </c>
      <c r="C21" s="26">
        <f t="shared" ref="C21:I21" si="5">ROUND(C14-C10-C11+C12-C13,2)</f>
        <v>0</v>
      </c>
      <c r="D21" s="26">
        <f t="shared" si="5"/>
        <v>0</v>
      </c>
      <c r="E21" s="26">
        <f t="shared" si="5"/>
        <v>0</v>
      </c>
      <c r="F21" s="26">
        <f t="shared" si="5"/>
        <v>0</v>
      </c>
      <c r="G21" s="26">
        <f t="shared" si="5"/>
        <v>0</v>
      </c>
      <c r="H21" s="26">
        <f t="shared" si="5"/>
        <v>0</v>
      </c>
      <c r="I21" s="26">
        <f t="shared" si="5"/>
        <v>0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29B7-FB79-4A29-9F4B-54CF61C3F078}">
  <dimension ref="A1:I25"/>
  <sheetViews>
    <sheetView showGridLines="0" topLeftCell="A2" workbookViewId="0">
      <selection activeCell="D13" sqref="D13"/>
    </sheetView>
  </sheetViews>
  <sheetFormatPr defaultRowHeight="14.4"/>
  <cols>
    <col min="1" max="1" width="24.88671875" bestFit="1" customWidth="1"/>
  </cols>
  <sheetData>
    <row r="1" spans="1:9" ht="36" customHeight="1">
      <c r="A1" s="62" t="s">
        <v>226</v>
      </c>
      <c r="B1" s="64"/>
      <c r="C1" s="64"/>
      <c r="D1" s="64"/>
      <c r="E1" s="64"/>
      <c r="F1" s="64"/>
      <c r="G1" s="64"/>
      <c r="H1" s="64"/>
      <c r="I1" s="64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37" t="s">
        <v>84</v>
      </c>
      <c r="B4" s="26"/>
      <c r="C4" s="26"/>
      <c r="D4" s="26"/>
      <c r="E4" s="26"/>
      <c r="F4" s="26"/>
      <c r="G4" s="26"/>
      <c r="H4" s="26"/>
      <c r="I4" s="26"/>
    </row>
    <row r="5" spans="1:9" ht="16.95" customHeight="1">
      <c r="A5" s="26" t="s">
        <v>47</v>
      </c>
      <c r="B5" s="26" cm="1">
        <f t="array" ref="B5:I5">'Historical &amp; Assumptions'!B4:I4</f>
        <v>5052.741</v>
      </c>
      <c r="C5" s="26">
        <v>5867.348</v>
      </c>
      <c r="D5" s="26">
        <v>6413.1450000000004</v>
      </c>
      <c r="E5" s="26">
        <v>7255.7539999999999</v>
      </c>
      <c r="F5" s="26">
        <v>8029.9895724999988</v>
      </c>
      <c r="G5" s="26">
        <v>8563.4888947124982</v>
      </c>
      <c r="H5" s="26">
        <v>9113.8440617373162</v>
      </c>
      <c r="I5" s="26">
        <v>9672.3098652563422</v>
      </c>
    </row>
    <row r="6" spans="1:9" ht="16.95" customHeight="1">
      <c r="A6" s="26" t="s">
        <v>72</v>
      </c>
      <c r="B6" s="26" cm="1">
        <f t="array" ref="B6:I6">'Historical &amp; Assumptions'!B6:I6</f>
        <v>2854.5349999999999</v>
      </c>
      <c r="C6" s="26">
        <v>3253.9070000000002</v>
      </c>
      <c r="D6" s="26">
        <v>3519.3989999999999</v>
      </c>
      <c r="E6" s="26">
        <v>3987.0889999999999</v>
      </c>
      <c r="F6" s="26">
        <v>4488.7641710274993</v>
      </c>
      <c r="G6" s="26">
        <v>4769.8633143548614</v>
      </c>
      <c r="H6" s="26">
        <v>5058.18345426421</v>
      </c>
      <c r="I6" s="26">
        <v>5348.7873554867574</v>
      </c>
    </row>
    <row r="7" spans="1:9" ht="16.95" customHeight="1">
      <c r="A7" s="26" t="s">
        <v>85</v>
      </c>
      <c r="B7" s="26" cm="1">
        <f t="array" ref="B7:B9">'Historical &amp; Assumptions'!B27:B29</f>
        <v>56.29</v>
      </c>
      <c r="C7" s="26" cm="1">
        <f t="array" ref="C7:C9">'Historical &amp; Assumptions'!C27:C29</f>
        <v>32.473999999999997</v>
      </c>
      <c r="D7" s="26" cm="1">
        <f t="array" ref="D7:D9">'Historical &amp; Assumptions'!D27:D29</f>
        <v>46.637999999999998</v>
      </c>
      <c r="E7" s="26" cm="1">
        <f t="array" ref="E7:E9">'Historical &amp; Assumptions'!E27:E29</f>
        <v>38.5</v>
      </c>
      <c r="F7" s="26">
        <f>(F5*F13)/365</f>
        <v>43.999942863013693</v>
      </c>
      <c r="G7" s="26">
        <f t="shared" ref="G7:I7" si="0">(G5*G13)/365</f>
        <v>46.923226820342457</v>
      </c>
      <c r="H7" s="26">
        <f t="shared" si="0"/>
        <v>49.938871571163375</v>
      </c>
      <c r="I7" s="26">
        <f t="shared" si="0"/>
        <v>52.998958165788174</v>
      </c>
    </row>
    <row r="8" spans="1:9" ht="16.95" customHeight="1">
      <c r="A8" s="26" t="s">
        <v>74</v>
      </c>
      <c r="B8" s="26">
        <v>957.17200000000003</v>
      </c>
      <c r="C8" s="26">
        <v>916.81200000000001</v>
      </c>
      <c r="D8" s="26">
        <v>921.09500000000003</v>
      </c>
      <c r="E8" s="26">
        <v>1103.175</v>
      </c>
      <c r="F8" s="26">
        <f>(F6*F14)/365</f>
        <v>1229.7984030212326</v>
      </c>
      <c r="G8" s="26">
        <f t="shared" ref="G8:I8" si="1">(G6*G14)/365</f>
        <v>1280.6756296076067</v>
      </c>
      <c r="H8" s="26">
        <f t="shared" si="1"/>
        <v>1330.3715386557922</v>
      </c>
      <c r="I8" s="26">
        <f t="shared" si="1"/>
        <v>1377.4959216870006</v>
      </c>
    </row>
    <row r="9" spans="1:9" ht="16.95" customHeight="1">
      <c r="A9" s="26" t="s">
        <v>86</v>
      </c>
      <c r="B9" s="26">
        <v>336.86200000000002</v>
      </c>
      <c r="C9" s="26">
        <v>334.35700000000003</v>
      </c>
      <c r="D9" s="26">
        <v>354.9</v>
      </c>
      <c r="E9" s="26">
        <v>461.76600000000002</v>
      </c>
      <c r="F9" s="26">
        <f>(F6*F15)/365</f>
        <v>516.51532926891775</v>
      </c>
      <c r="G9" s="26">
        <f t="shared" ref="G9:I9" si="2">(G6*G15)/365</f>
        <v>548.86098411754574</v>
      </c>
      <c r="H9" s="26">
        <f t="shared" si="2"/>
        <v>595.89558502290686</v>
      </c>
      <c r="I9" s="26">
        <f t="shared" si="2"/>
        <v>630.13111311213856</v>
      </c>
    </row>
    <row r="10" spans="1:9" ht="16.95" customHeight="1">
      <c r="A10" s="26" t="s">
        <v>87</v>
      </c>
      <c r="B10" s="26">
        <f>B7+B8-B9</f>
        <v>676.59999999999991</v>
      </c>
      <c r="C10" s="26">
        <f t="shared" ref="C10:E10" si="3">C7+C8-C9</f>
        <v>614.92900000000009</v>
      </c>
      <c r="D10" s="26">
        <f t="shared" si="3"/>
        <v>612.83300000000008</v>
      </c>
      <c r="E10" s="26">
        <f t="shared" si="3"/>
        <v>679.90899999999988</v>
      </c>
      <c r="F10" s="26">
        <f t="shared" ref="F10" si="4">F7+F8-F9</f>
        <v>757.28301661532862</v>
      </c>
      <c r="G10" s="26">
        <f t="shared" ref="G10" si="5">G7+G8-G9</f>
        <v>778.73787231040342</v>
      </c>
      <c r="H10" s="26">
        <f t="shared" ref="H10" si="6">H7+H8-H9</f>
        <v>784.41482520404873</v>
      </c>
      <c r="I10" s="26">
        <f t="shared" ref="I10" si="7">I7+I8-I9</f>
        <v>800.36376674065036</v>
      </c>
    </row>
    <row r="12" spans="1:9" ht="16.95" customHeight="1">
      <c r="A12" s="37" t="s">
        <v>88</v>
      </c>
      <c r="B12" s="26"/>
      <c r="C12" s="26"/>
      <c r="D12" s="26"/>
      <c r="E12" s="26"/>
      <c r="F12" s="26"/>
      <c r="G12" s="26"/>
      <c r="H12" s="26"/>
      <c r="I12" s="26"/>
    </row>
    <row r="13" spans="1:9" ht="16.95" customHeight="1">
      <c r="A13" s="26" t="s">
        <v>89</v>
      </c>
      <c r="B13" s="42">
        <f>(B7/B5)*365</f>
        <v>4.0662780854985439</v>
      </c>
      <c r="C13" s="42">
        <f t="shared" ref="C13:E13" si="8">(C7/C5)*365</f>
        <v>2.0201648172223634</v>
      </c>
      <c r="D13" s="42">
        <f t="shared" si="8"/>
        <v>2.6543716070664236</v>
      </c>
      <c r="E13" s="42">
        <f t="shared" si="8"/>
        <v>1.9367387593350049</v>
      </c>
      <c r="F13" s="42">
        <v>2</v>
      </c>
      <c r="G13" s="42">
        <v>2</v>
      </c>
      <c r="H13" s="42">
        <v>2</v>
      </c>
      <c r="I13" s="42">
        <v>2</v>
      </c>
    </row>
    <row r="14" spans="1:9" ht="16.95" customHeight="1">
      <c r="A14" s="26" t="s">
        <v>90</v>
      </c>
      <c r="B14" s="42">
        <f>(B8/B6)*365</f>
        <v>122.39043486942708</v>
      </c>
      <c r="C14" s="42">
        <f t="shared" ref="C14:E14" si="9">(C8/C6)*365</f>
        <v>102.84140880486135</v>
      </c>
      <c r="D14" s="42">
        <f t="shared" si="9"/>
        <v>95.527581555828149</v>
      </c>
      <c r="E14" s="42">
        <f t="shared" si="9"/>
        <v>100.99069145434174</v>
      </c>
      <c r="F14" s="42">
        <v>100</v>
      </c>
      <c r="G14" s="42">
        <v>98</v>
      </c>
      <c r="H14" s="42">
        <v>96</v>
      </c>
      <c r="I14" s="42">
        <v>94</v>
      </c>
    </row>
    <row r="15" spans="1:9" ht="16.95" customHeight="1">
      <c r="A15" s="26" t="s">
        <v>91</v>
      </c>
      <c r="B15" s="42">
        <f>(B9/B6)*365</f>
        <v>43.073435778506834</v>
      </c>
      <c r="C15" s="42">
        <f t="shared" ref="C15:E15" si="10">(C9/C6)*365</f>
        <v>37.505775364815285</v>
      </c>
      <c r="D15" s="42">
        <f t="shared" si="10"/>
        <v>36.806994603339945</v>
      </c>
      <c r="E15" s="42">
        <f t="shared" si="10"/>
        <v>42.272592861609063</v>
      </c>
      <c r="F15" s="42">
        <v>42</v>
      </c>
      <c r="G15" s="42">
        <v>42</v>
      </c>
      <c r="H15" s="42">
        <v>43</v>
      </c>
      <c r="I15" s="42">
        <v>43</v>
      </c>
    </row>
    <row r="16" spans="1:9" ht="16.95" customHeight="1">
      <c r="A16" s="26" t="s">
        <v>92</v>
      </c>
      <c r="B16" s="42">
        <f>B13+B14-B15</f>
        <v>83.383277176418787</v>
      </c>
      <c r="C16" s="42">
        <f t="shared" ref="C16:E16" si="11">C13+C14-C15</f>
        <v>67.355798257268418</v>
      </c>
      <c r="D16" s="42">
        <f t="shared" si="11"/>
        <v>61.374958559554628</v>
      </c>
      <c r="E16" s="42">
        <f t="shared" si="11"/>
        <v>60.65483735206768</v>
      </c>
      <c r="F16" s="42">
        <f t="shared" ref="F16" si="12">F13+F14-F15</f>
        <v>60</v>
      </c>
      <c r="G16" s="42">
        <f t="shared" ref="G16" si="13">G13+G14-G15</f>
        <v>58</v>
      </c>
      <c r="H16" s="42">
        <f t="shared" ref="H16" si="14">H13+H14-H15</f>
        <v>55</v>
      </c>
      <c r="I16" s="42">
        <f t="shared" ref="I16" si="15">I13+I14-I15</f>
        <v>53</v>
      </c>
    </row>
    <row r="18" spans="1:9" ht="16.95" customHeight="1">
      <c r="A18" s="3" t="s">
        <v>93</v>
      </c>
    </row>
    <row r="19" spans="1:9" ht="16.95" customHeight="1">
      <c r="A19" s="26" t="s">
        <v>73</v>
      </c>
      <c r="B19" s="26">
        <f>'Historical &amp; Assumptions'!B26</f>
        <v>101.261</v>
      </c>
      <c r="C19" s="26">
        <f>'Historical &amp; Assumptions'!C26</f>
        <v>313.91500000000002</v>
      </c>
      <c r="D19" s="26">
        <f>'Historical &amp; Assumptions'!D26</f>
        <v>122.685</v>
      </c>
      <c r="E19" s="26">
        <f>'Historical &amp; Assumptions'!E26</f>
        <v>331.56900000000002</v>
      </c>
      <c r="F19" s="26">
        <v>0</v>
      </c>
      <c r="G19" s="26">
        <v>0</v>
      </c>
      <c r="H19" s="26">
        <v>0</v>
      </c>
      <c r="I19" s="26">
        <v>0</v>
      </c>
    </row>
    <row r="20" spans="1:9" ht="16.95" customHeight="1">
      <c r="A20" s="26" t="s">
        <v>94</v>
      </c>
      <c r="B20" s="26">
        <f>'Historical &amp; Assumptions'!B34</f>
        <v>2251.9029999999998</v>
      </c>
      <c r="C20" s="26">
        <f>'Historical &amp; Assumptions'!C34</f>
        <v>2264.3939999999998</v>
      </c>
      <c r="D20" s="26">
        <f>'Historical &amp; Assumptions'!D34</f>
        <v>2282.6790000000001</v>
      </c>
      <c r="E20" s="26">
        <f>'Historical &amp; Assumptions'!E34</f>
        <v>2625.1210000000001</v>
      </c>
      <c r="F20" s="26">
        <f>E20*1.05</f>
        <v>2756.3770500000001</v>
      </c>
      <c r="G20" s="26">
        <f t="shared" ref="G20:I20" si="16">F20*1.05</f>
        <v>2894.1959025000001</v>
      </c>
      <c r="H20" s="26">
        <f t="shared" si="16"/>
        <v>3038.9056976250004</v>
      </c>
      <c r="I20" s="26">
        <f t="shared" si="16"/>
        <v>3190.8509825062506</v>
      </c>
    </row>
    <row r="21" spans="1:9" ht="16.95" customHeight="1">
      <c r="A21" s="26" t="s">
        <v>95</v>
      </c>
      <c r="B21" s="26">
        <f>'Historical &amp; Assumptions'!B35</f>
        <v>1960.7429999999999</v>
      </c>
      <c r="C21" s="26">
        <f>'Historical &amp; Assumptions'!C35</f>
        <v>2069.2289999999998</v>
      </c>
      <c r="D21" s="26">
        <f>'Historical &amp; Assumptions'!D35</f>
        <v>2426.9769999999999</v>
      </c>
      <c r="E21" s="26">
        <f>'Historical &amp; Assumptions'!E35</f>
        <v>2770.473</v>
      </c>
      <c r="F21" s="26">
        <f>E21*1.08</f>
        <v>2992.1108400000003</v>
      </c>
      <c r="G21" s="26">
        <f t="shared" ref="G21:I21" si="17">F21*1.08</f>
        <v>3231.4797072000006</v>
      </c>
      <c r="H21" s="26">
        <f t="shared" si="17"/>
        <v>3489.9980837760008</v>
      </c>
      <c r="I21" s="26">
        <f t="shared" si="17"/>
        <v>3769.1979304780812</v>
      </c>
    </row>
    <row r="22" spans="1:9" ht="16.95" customHeight="1">
      <c r="A22" s="26" t="s">
        <v>96</v>
      </c>
      <c r="B22" s="26">
        <f>B20-B19</f>
        <v>2150.6419999999998</v>
      </c>
      <c r="C22" s="26">
        <f t="shared" ref="C22:E22" si="18">C20-C19</f>
        <v>1950.4789999999998</v>
      </c>
      <c r="D22" s="26">
        <f t="shared" si="18"/>
        <v>2159.9940000000001</v>
      </c>
      <c r="E22" s="26">
        <f t="shared" si="18"/>
        <v>2293.5520000000001</v>
      </c>
      <c r="F22" s="26">
        <v>0</v>
      </c>
      <c r="G22" s="26">
        <v>0</v>
      </c>
      <c r="H22" s="26">
        <v>0</v>
      </c>
      <c r="I22" s="26">
        <v>0</v>
      </c>
    </row>
    <row r="23" spans="1:9" ht="16.95" customHeight="1">
      <c r="A23" s="26" t="s">
        <v>17</v>
      </c>
      <c r="B23" s="26">
        <f>'Historical &amp; Assumptions'!B17</f>
        <v>115.39400000000001</v>
      </c>
      <c r="C23" s="26">
        <f>'Historical &amp; Assumptions'!C17</f>
        <v>144.84200000000001</v>
      </c>
      <c r="D23" s="26">
        <f>'Historical &amp; Assumptions'!D17</f>
        <v>163.78200000000001</v>
      </c>
      <c r="E23" s="26">
        <f>'Historical &amp; Assumptions'!E17</f>
        <v>184.02</v>
      </c>
      <c r="F23" s="26">
        <f>E23*1.05</f>
        <v>193.22100000000003</v>
      </c>
      <c r="G23" s="26">
        <f t="shared" ref="G23:I23" si="19">F23*1.05</f>
        <v>202.88205000000005</v>
      </c>
      <c r="H23" s="26">
        <f t="shared" si="19"/>
        <v>213.02615250000005</v>
      </c>
      <c r="I23" s="26">
        <f t="shared" si="19"/>
        <v>223.67746012500007</v>
      </c>
    </row>
    <row r="25" spans="1:9">
      <c r="A25" s="3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1BCB-E56D-4738-9EE2-00872EBEBB42}">
  <dimension ref="A1:I17"/>
  <sheetViews>
    <sheetView showGridLines="0" workbookViewId="0">
      <selection activeCell="L11" sqref="L11"/>
    </sheetView>
  </sheetViews>
  <sheetFormatPr defaultRowHeight="14.4"/>
  <cols>
    <col min="1" max="1" width="23.6640625" bestFit="1" customWidth="1"/>
    <col min="6" max="9" width="9.5546875" bestFit="1" customWidth="1"/>
  </cols>
  <sheetData>
    <row r="1" spans="1:9" ht="36" customHeight="1">
      <c r="A1" s="62" t="s">
        <v>225</v>
      </c>
      <c r="B1" s="64"/>
      <c r="C1" s="64"/>
      <c r="D1" s="64"/>
      <c r="E1" s="64"/>
      <c r="F1" s="64"/>
      <c r="G1" s="64"/>
      <c r="H1" s="64"/>
      <c r="I1" s="64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26" t="s">
        <v>47</v>
      </c>
      <c r="B4" s="26">
        <f>Revenue!B20</f>
        <v>5052.741</v>
      </c>
      <c r="C4" s="26">
        <f>Revenue!C20</f>
        <v>5867.348</v>
      </c>
      <c r="D4" s="26">
        <f>Revenue!D20</f>
        <v>6413.1450000000004</v>
      </c>
      <c r="E4" s="26">
        <f>Revenue!E20</f>
        <v>7255.7539999999999</v>
      </c>
      <c r="F4" s="26">
        <f>Revenue!F20</f>
        <v>8029.9895724999988</v>
      </c>
      <c r="G4" s="26">
        <f>Revenue!G20</f>
        <v>8563.4888947124982</v>
      </c>
      <c r="H4" s="26">
        <f>Revenue!H20</f>
        <v>9113.8440617373162</v>
      </c>
      <c r="I4" s="26">
        <f>Revenue!I20</f>
        <v>9672.3098652563422</v>
      </c>
    </row>
    <row r="5" spans="1:9" ht="16.95" customHeight="1">
      <c r="A5" s="26" t="s">
        <v>72</v>
      </c>
      <c r="B5" s="26">
        <f>'Operating Model'!B6</f>
        <v>2854.5349999999999</v>
      </c>
      <c r="C5" s="26">
        <f>'Operating Model'!C6</f>
        <v>3253.9070000000002</v>
      </c>
      <c r="D5" s="26">
        <f>'Operating Model'!D6</f>
        <v>3519.3989999999999</v>
      </c>
      <c r="E5" s="26">
        <f>'Operating Model'!E6</f>
        <v>3987.0889999999999</v>
      </c>
      <c r="F5" s="26">
        <f>'Operating Model'!F6</f>
        <v>4488.7641710274993</v>
      </c>
      <c r="G5" s="26">
        <f>'Operating Model'!G6</f>
        <v>4769.8633143548614</v>
      </c>
      <c r="H5" s="26">
        <f>'Operating Model'!H6</f>
        <v>5058.18345426421</v>
      </c>
      <c r="I5" s="26">
        <f>'Operating Model'!I6</f>
        <v>5348.7873554867574</v>
      </c>
    </row>
    <row r="6" spans="1:9" s="3" customFormat="1" ht="16.95" customHeight="1">
      <c r="A6" s="37" t="s">
        <v>9</v>
      </c>
      <c r="B6" s="37">
        <f>'Operating Model'!B7</f>
        <v>2198.2060000000001</v>
      </c>
      <c r="C6" s="37">
        <f>'Operating Model'!C7</f>
        <v>2613.4409999999998</v>
      </c>
      <c r="D6" s="37">
        <f>'Operating Model'!D7</f>
        <v>2893.7460000000001</v>
      </c>
      <c r="E6" s="37">
        <f>'Operating Model'!E7</f>
        <v>3268.665</v>
      </c>
      <c r="F6" s="37">
        <f>'Operating Model'!F7</f>
        <v>3541.2254014724995</v>
      </c>
      <c r="G6" s="37">
        <f>'Operating Model'!G7</f>
        <v>3793.6255803576369</v>
      </c>
      <c r="H6" s="37">
        <f>'Operating Model'!H7</f>
        <v>4055.6606074731058</v>
      </c>
      <c r="I6" s="37">
        <f>'Operating Model'!I7</f>
        <v>4323.5225097695848</v>
      </c>
    </row>
    <row r="7" spans="1:9" ht="16.95" customHeight="1">
      <c r="A7" s="26" t="s">
        <v>10</v>
      </c>
      <c r="B7" s="38">
        <f>'Operating Model'!B8</f>
        <v>0.43505218256783795</v>
      </c>
      <c r="C7" s="38">
        <f>'Operating Model'!C8</f>
        <v>0.44542116813251914</v>
      </c>
      <c r="D7" s="38">
        <f>'Operating Model'!D8</f>
        <v>0.45122104677190361</v>
      </c>
      <c r="E7" s="38">
        <f>'Operating Model'!E8</f>
        <v>0.45049280887968363</v>
      </c>
      <c r="F7" s="38">
        <f>'Operating Model'!F8</f>
        <v>0.441</v>
      </c>
      <c r="G7" s="38">
        <f>'Operating Model'!G8</f>
        <v>0.443</v>
      </c>
      <c r="H7" s="38">
        <f>'Operating Model'!H8</f>
        <v>0.44500000000000001</v>
      </c>
      <c r="I7" s="38">
        <f>'Operating Model'!I8</f>
        <v>0.44700000000000001</v>
      </c>
    </row>
    <row r="8" spans="1:9" ht="16.95" customHeight="1">
      <c r="A8" s="26" t="s">
        <v>11</v>
      </c>
      <c r="B8" s="46">
        <f>'Operating Model'!B9</f>
        <v>720.31200000000001</v>
      </c>
      <c r="C8" s="46">
        <f>'Operating Model'!C9</f>
        <v>844.87099999999998</v>
      </c>
      <c r="D8" s="46">
        <f>'Operating Model'!D9</f>
        <v>930.16800000000001</v>
      </c>
      <c r="E8" s="46">
        <f>'Operating Model'!E9</f>
        <v>1093.289</v>
      </c>
      <c r="F8" s="46">
        <f>'Operating Model'!F9</f>
        <v>1204.4984358749998</v>
      </c>
      <c r="G8" s="46">
        <f>'Operating Model'!G9</f>
        <v>1275.9598453121621</v>
      </c>
      <c r="H8" s="46">
        <f>'Operating Model'!H9</f>
        <v>1348.8489211371227</v>
      </c>
      <c r="I8" s="46">
        <f>'Operating Model'!I9</f>
        <v>1421.8295501926823</v>
      </c>
    </row>
    <row r="9" spans="1:9" s="3" customFormat="1" ht="16.95" customHeight="1">
      <c r="A9" s="37" t="s">
        <v>13</v>
      </c>
      <c r="B9" s="37">
        <f t="shared" ref="B9:I9" si="0">B6-B8</f>
        <v>1477.8940000000002</v>
      </c>
      <c r="C9" s="37">
        <f t="shared" si="0"/>
        <v>1768.5699999999997</v>
      </c>
      <c r="D9" s="37">
        <f t="shared" si="0"/>
        <v>1963.578</v>
      </c>
      <c r="E9" s="37">
        <f t="shared" si="0"/>
        <v>2175.3760000000002</v>
      </c>
      <c r="F9" s="37">
        <f t="shared" si="0"/>
        <v>2336.7269655974997</v>
      </c>
      <c r="G9" s="37">
        <f t="shared" si="0"/>
        <v>2517.6657350454748</v>
      </c>
      <c r="H9" s="37">
        <f t="shared" si="0"/>
        <v>2706.8116863359828</v>
      </c>
      <c r="I9" s="37">
        <f t="shared" si="0"/>
        <v>2901.6929595769025</v>
      </c>
    </row>
    <row r="10" spans="1:9" ht="16.95" customHeight="1">
      <c r="A10" s="26" t="s">
        <v>14</v>
      </c>
      <c r="B10" s="49">
        <f t="shared" ref="B10:I10" si="1">B9/B4</f>
        <v>0.29249351985387739</v>
      </c>
      <c r="C10" s="49">
        <f t="shared" si="1"/>
        <v>0.30142578895950944</v>
      </c>
      <c r="D10" s="49">
        <f t="shared" si="1"/>
        <v>0.30618019707959199</v>
      </c>
      <c r="E10" s="49">
        <f t="shared" si="1"/>
        <v>0.29981391320598799</v>
      </c>
      <c r="F10" s="49">
        <f t="shared" si="1"/>
        <v>0.29099999999999998</v>
      </c>
      <c r="G10" s="49">
        <f t="shared" si="1"/>
        <v>0.29400000000000004</v>
      </c>
      <c r="H10" s="49">
        <f t="shared" si="1"/>
        <v>0.29699999999999999</v>
      </c>
      <c r="I10" s="49">
        <f t="shared" si="1"/>
        <v>0.3</v>
      </c>
    </row>
    <row r="11" spans="1:9" ht="16.95" customHeight="1">
      <c r="A11" s="26" t="s">
        <v>49</v>
      </c>
      <c r="B11" s="46">
        <f>'Operating Model'!B13</f>
        <v>331.79199999999997</v>
      </c>
      <c r="C11" s="46">
        <f>'Operating Model'!C13</f>
        <v>348.142</v>
      </c>
      <c r="D11" s="46">
        <f>'Operating Model'!D13</f>
        <v>382.80500000000001</v>
      </c>
      <c r="E11" s="46">
        <f>'Operating Model'!E13</f>
        <v>429.053</v>
      </c>
      <c r="F11" s="46">
        <f>'Operating Model'!F13</f>
        <v>489.47748019059304</v>
      </c>
      <c r="G11" s="46">
        <f>'Operating Model'!G13</f>
        <v>521.99756026818932</v>
      </c>
      <c r="H11" s="46">
        <f>'Operating Model'!H13</f>
        <v>555.54510823608939</v>
      </c>
      <c r="I11" s="46">
        <f>'Operating Model'!I13</f>
        <v>589.58704961235981</v>
      </c>
    </row>
    <row r="12" spans="1:9" s="3" customFormat="1" ht="16.95" customHeight="1">
      <c r="A12" s="37" t="s">
        <v>97</v>
      </c>
      <c r="B12" s="37">
        <f t="shared" ref="B12:I12" si="2">B9-B11</f>
        <v>1146.1020000000003</v>
      </c>
      <c r="C12" s="37">
        <f t="shared" si="2"/>
        <v>1420.4279999999997</v>
      </c>
      <c r="D12" s="37">
        <f t="shared" si="2"/>
        <v>1580.7729999999999</v>
      </c>
      <c r="E12" s="37">
        <f t="shared" si="2"/>
        <v>1746.3230000000003</v>
      </c>
      <c r="F12" s="37">
        <f t="shared" si="2"/>
        <v>1847.2494854069066</v>
      </c>
      <c r="G12" s="37">
        <f t="shared" si="2"/>
        <v>1995.6681747772855</v>
      </c>
      <c r="H12" s="37">
        <f t="shared" si="2"/>
        <v>2151.2665780998932</v>
      </c>
      <c r="I12" s="37">
        <f t="shared" si="2"/>
        <v>2312.1059099645427</v>
      </c>
    </row>
    <row r="13" spans="1:9" ht="16.95" customHeight="1">
      <c r="A13" s="26" t="s">
        <v>17</v>
      </c>
      <c r="B13" s="26">
        <f>'Working Capital &amp; Financing'!B23</f>
        <v>115.39400000000001</v>
      </c>
      <c r="C13" s="26">
        <f>'Working Capital &amp; Financing'!C23</f>
        <v>144.84200000000001</v>
      </c>
      <c r="D13" s="26">
        <f>'Working Capital &amp; Financing'!D23</f>
        <v>163.78200000000001</v>
      </c>
      <c r="E13" s="26">
        <f>'Working Capital &amp; Financing'!E23</f>
        <v>184.02</v>
      </c>
      <c r="F13" s="26">
        <f>'Working Capital &amp; Financing'!F23</f>
        <v>193.22100000000003</v>
      </c>
      <c r="G13" s="26">
        <f>'Working Capital &amp; Financing'!G23</f>
        <v>202.88205000000005</v>
      </c>
      <c r="H13" s="26">
        <f>'Working Capital &amp; Financing'!H23</f>
        <v>213.02615250000005</v>
      </c>
      <c r="I13" s="26">
        <f>'Working Capital &amp; Financing'!I23</f>
        <v>223.67746012500007</v>
      </c>
    </row>
    <row r="14" spans="1:9" ht="16.95" customHeight="1">
      <c r="A14" s="26" t="s">
        <v>18</v>
      </c>
      <c r="B14" s="26">
        <f t="shared" ref="B14:I14" si="3">B12-B13</f>
        <v>1030.7080000000003</v>
      </c>
      <c r="C14" s="26">
        <f t="shared" si="3"/>
        <v>1275.5859999999996</v>
      </c>
      <c r="D14" s="26">
        <f t="shared" si="3"/>
        <v>1416.991</v>
      </c>
      <c r="E14" s="26">
        <f t="shared" si="3"/>
        <v>1562.3030000000003</v>
      </c>
      <c r="F14" s="26">
        <f t="shared" si="3"/>
        <v>1654.0284854069066</v>
      </c>
      <c r="G14" s="26">
        <f t="shared" si="3"/>
        <v>1792.7861247772853</v>
      </c>
      <c r="H14" s="26">
        <f t="shared" si="3"/>
        <v>1938.2404255998931</v>
      </c>
      <c r="I14" s="26">
        <f t="shared" si="3"/>
        <v>2088.4284498395427</v>
      </c>
    </row>
    <row r="15" spans="1:9" ht="16.95" customHeight="1">
      <c r="A15" s="26" t="s">
        <v>19</v>
      </c>
      <c r="B15" s="46">
        <f>'Historical &amp; Assumptions'!B25</f>
        <v>274.24400000000003</v>
      </c>
      <c r="C15" s="46">
        <f>'Historical &amp; Assumptions'!C25</f>
        <v>340.41899999999998</v>
      </c>
      <c r="D15" s="46">
        <f>'Historical &amp; Assumptions'!D25</f>
        <v>378.351</v>
      </c>
      <c r="E15" s="46">
        <f>'Historical &amp; Assumptions'!E25</f>
        <v>454.74900000000002</v>
      </c>
      <c r="F15" s="50">
        <f>F14*25.5%</f>
        <v>421.77726377876121</v>
      </c>
      <c r="G15" s="50">
        <f t="shared" ref="G15:I15" si="4">G14*25.5%</f>
        <v>457.16046181820775</v>
      </c>
      <c r="H15" s="50">
        <f t="shared" si="4"/>
        <v>494.25130852797275</v>
      </c>
      <c r="I15" s="50">
        <f t="shared" si="4"/>
        <v>532.54925470908336</v>
      </c>
    </row>
    <row r="16" spans="1:9" s="3" customFormat="1" ht="16.95" customHeight="1">
      <c r="A16" s="37" t="s">
        <v>98</v>
      </c>
      <c r="B16" s="37">
        <f>B14-B15</f>
        <v>756.46400000000028</v>
      </c>
      <c r="C16" s="37">
        <f t="shared" ref="C16:E16" si="5">C14-C15</f>
        <v>935.16699999999958</v>
      </c>
      <c r="D16" s="37">
        <f t="shared" si="5"/>
        <v>1038.6399999999999</v>
      </c>
      <c r="E16" s="37">
        <f t="shared" si="5"/>
        <v>1107.5540000000003</v>
      </c>
      <c r="F16" s="43">
        <f>F14-F15</f>
        <v>1232.2512216281455</v>
      </c>
      <c r="G16" s="43">
        <f t="shared" ref="G16:I16" si="6">G14-G15</f>
        <v>1335.6256629590775</v>
      </c>
      <c r="H16" s="43">
        <f t="shared" si="6"/>
        <v>1443.9891170719204</v>
      </c>
      <c r="I16" s="43">
        <f t="shared" si="6"/>
        <v>1555.8791951304593</v>
      </c>
    </row>
    <row r="17" spans="1:9" ht="16.95" customHeight="1">
      <c r="A17" s="26" t="s">
        <v>222</v>
      </c>
      <c r="B17" s="33">
        <f t="shared" ref="B17:I17" si="7">B16/B4</f>
        <v>0.14971359109837618</v>
      </c>
      <c r="C17" s="33">
        <f t="shared" si="7"/>
        <v>0.15938495551993842</v>
      </c>
      <c r="D17" s="33">
        <f t="shared" si="7"/>
        <v>0.16195485990103137</v>
      </c>
      <c r="E17" s="33">
        <f t="shared" si="7"/>
        <v>0.15264492153399914</v>
      </c>
      <c r="F17" s="33">
        <f t="shared" si="7"/>
        <v>0.15345614219079307</v>
      </c>
      <c r="G17" s="33">
        <f t="shared" si="7"/>
        <v>0.15596746599201591</v>
      </c>
      <c r="H17" s="33">
        <f t="shared" si="7"/>
        <v>0.15843908533987597</v>
      </c>
      <c r="I17" s="33">
        <f t="shared" si="7"/>
        <v>0.16085911398675234</v>
      </c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6B65F-090F-43DE-8830-C629A5BC1EF8}">
  <dimension ref="A1:I21"/>
  <sheetViews>
    <sheetView showGridLines="0" workbookViewId="0">
      <selection activeCell="M4" sqref="M4"/>
    </sheetView>
  </sheetViews>
  <sheetFormatPr defaultRowHeight="14.4"/>
  <cols>
    <col min="1" max="1" width="24.5546875" bestFit="1" customWidth="1"/>
    <col min="6" max="9" width="9.5546875" bestFit="1" customWidth="1"/>
  </cols>
  <sheetData>
    <row r="1" spans="1:9" ht="36" customHeight="1">
      <c r="A1" s="62" t="s">
        <v>232</v>
      </c>
      <c r="B1" s="64"/>
      <c r="C1" s="64"/>
      <c r="D1" s="64"/>
      <c r="E1" s="64"/>
      <c r="F1" s="64"/>
      <c r="G1" s="64"/>
      <c r="H1" s="64"/>
      <c r="I1" s="64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26" t="s">
        <v>103</v>
      </c>
      <c r="B4" s="26">
        <f>'Historical &amp; Assumptions'!B26</f>
        <v>101.261</v>
      </c>
      <c r="C4" s="26">
        <f>'Historical &amp; Assumptions'!C26</f>
        <v>313.91500000000002</v>
      </c>
      <c r="D4" s="26">
        <f>'Historical &amp; Assumptions'!D26</f>
        <v>122.685</v>
      </c>
      <c r="E4" s="26">
        <f>'Historical &amp; Assumptions'!E26</f>
        <v>331.56900000000002</v>
      </c>
      <c r="F4" s="34">
        <f>'Cash Flow Statement'!F22</f>
        <v>1387.6946518759091</v>
      </c>
      <c r="G4" s="34">
        <f>'Cash Flow Statement'!G22</f>
        <v>2603.8527513143135</v>
      </c>
      <c r="H4" s="34">
        <f>'Cash Flow Statement'!H22</f>
        <v>3953.0832557866597</v>
      </c>
      <c r="I4" s="34">
        <f>'Cash Flow Statement'!I22</f>
        <v>5404.6832409144554</v>
      </c>
    </row>
    <row r="5" spans="1:9" ht="16.95" customHeight="1">
      <c r="A5" s="26" t="s">
        <v>85</v>
      </c>
      <c r="B5" s="34">
        <f>'Working Capital &amp; Financing'!B7</f>
        <v>56.29</v>
      </c>
      <c r="C5" s="34">
        <f>'Working Capital &amp; Financing'!C7</f>
        <v>32.473999999999997</v>
      </c>
      <c r="D5" s="34">
        <f>'Working Capital &amp; Financing'!D7</f>
        <v>46.637999999999998</v>
      </c>
      <c r="E5" s="34">
        <f>'Working Capital &amp; Financing'!E7</f>
        <v>38.5</v>
      </c>
      <c r="F5" s="34">
        <f>'Working Capital &amp; Financing'!F7</f>
        <v>43.999942863013693</v>
      </c>
      <c r="G5" s="34">
        <f>'Working Capital &amp; Financing'!G7</f>
        <v>46.923226820342457</v>
      </c>
      <c r="H5" s="34">
        <f>'Working Capital &amp; Financing'!H7</f>
        <v>49.938871571163375</v>
      </c>
      <c r="I5" s="34">
        <f>'Working Capital &amp; Financing'!I7</f>
        <v>52.998958165788174</v>
      </c>
    </row>
    <row r="6" spans="1:9" ht="16.95" customHeight="1">
      <c r="A6" s="26" t="s">
        <v>74</v>
      </c>
      <c r="B6" s="26">
        <f>'Working Capital &amp; Financing'!B8</f>
        <v>957.17200000000003</v>
      </c>
      <c r="C6" s="26">
        <f>'Working Capital &amp; Financing'!C8</f>
        <v>916.81200000000001</v>
      </c>
      <c r="D6" s="26">
        <f>'Working Capital &amp; Financing'!D8</f>
        <v>921.09500000000003</v>
      </c>
      <c r="E6" s="26">
        <f>'Working Capital &amp; Financing'!E8</f>
        <v>1103.175</v>
      </c>
      <c r="F6" s="26">
        <f>'Working Capital &amp; Financing'!F8</f>
        <v>1229.7984030212326</v>
      </c>
      <c r="G6" s="26">
        <f>'Working Capital &amp; Financing'!G8</f>
        <v>1280.6756296076067</v>
      </c>
      <c r="H6" s="26">
        <f>'Working Capital &amp; Financing'!H8</f>
        <v>1330.3715386557922</v>
      </c>
      <c r="I6" s="26">
        <f>'Working Capital &amp; Financing'!I8</f>
        <v>1377.4959216870006</v>
      </c>
    </row>
    <row r="7" spans="1:9" ht="16.95" customHeight="1">
      <c r="A7" s="26" t="s">
        <v>104</v>
      </c>
      <c r="B7" s="26">
        <v>1037.7739999999999</v>
      </c>
      <c r="C7" s="26">
        <v>1093.027</v>
      </c>
      <c r="D7" s="26">
        <v>2055.65</v>
      </c>
      <c r="E7" s="26">
        <v>2251.1190000000001</v>
      </c>
      <c r="F7" s="26">
        <f>E7*1.05</f>
        <v>2363.6749500000001</v>
      </c>
      <c r="G7" s="26">
        <f t="shared" ref="G7:I7" si="0">F7*1.05</f>
        <v>2481.8586975000003</v>
      </c>
      <c r="H7" s="26">
        <f t="shared" si="0"/>
        <v>2605.9516323750004</v>
      </c>
      <c r="I7" s="26">
        <f t="shared" si="0"/>
        <v>2736.2492139937503</v>
      </c>
    </row>
    <row r="8" spans="1:9" ht="16.95" customHeight="1">
      <c r="A8" s="26" t="s">
        <v>76</v>
      </c>
      <c r="B8" s="26">
        <f>'PP&amp;E &amp; Capex'!B14</f>
        <v>802.75</v>
      </c>
      <c r="C8" s="26">
        <f>'PP&amp;E &amp; Capex'!C14</f>
        <v>950.99400000000003</v>
      </c>
      <c r="D8" s="26">
        <f>'PP&amp;E &amp; Capex'!D14</f>
        <v>1046.3900000000001</v>
      </c>
      <c r="E8" s="26">
        <f>'PP&amp;E &amp; Capex'!E14</f>
        <v>1258.499</v>
      </c>
      <c r="F8" s="26">
        <f>'PP&amp;E &amp; Capex'!F14</f>
        <v>1414.5017339947501</v>
      </c>
      <c r="G8" s="26">
        <f>'PP&amp;E &amp; Capex'!G14</f>
        <v>1573.6300207996837</v>
      </c>
      <c r="H8" s="26">
        <f>'PP&amp;E &amp; Capex'!H14</f>
        <v>1727.9604856311316</v>
      </c>
      <c r="I8" s="26">
        <f>'PP&amp;E &amp; Capex'!I14</f>
        <v>1885.9574344597856</v>
      </c>
    </row>
    <row r="9" spans="1:9" ht="16.95" customHeight="1">
      <c r="A9" s="26" t="s">
        <v>105</v>
      </c>
      <c r="B9" s="26">
        <f>'Historical &amp; Assumptions'!B32</f>
        <v>164.654</v>
      </c>
      <c r="C9" s="26">
        <f>'Historical &amp; Assumptions'!C32</f>
        <v>167.83500000000001</v>
      </c>
      <c r="D9" s="26">
        <f>'Historical &amp; Assumptions'!D32</f>
        <v>180.68899999999999</v>
      </c>
      <c r="E9" s="26">
        <f>'Historical &amp; Assumptions'!E32</f>
        <v>178.28100000000001</v>
      </c>
      <c r="F9" s="34">
        <f>E9*1.02</f>
        <v>181.84662</v>
      </c>
      <c r="G9" s="34">
        <f t="shared" ref="G9:I9" si="1">F9*1.02</f>
        <v>185.48355240000001</v>
      </c>
      <c r="H9" s="34">
        <f t="shared" si="1"/>
        <v>189.193223448</v>
      </c>
      <c r="I9" s="34">
        <f t="shared" si="1"/>
        <v>192.97708791695999</v>
      </c>
    </row>
    <row r="10" spans="1:9" ht="16.95" customHeight="1">
      <c r="A10" s="26" t="s">
        <v>106</v>
      </c>
      <c r="B10" s="46">
        <f>'Historical &amp; Assumptions'!B33</f>
        <v>1699.7550000000001</v>
      </c>
      <c r="C10" s="46">
        <f>'Historical &amp; Assumptions'!C33</f>
        <v>1788.55</v>
      </c>
      <c r="D10" s="46">
        <f>'Historical &amp; Assumptions'!D33</f>
        <v>2109.4450000000002</v>
      </c>
      <c r="E10" s="46">
        <f>'Historical &amp; Assumptions'!E33</f>
        <v>2397.2089999999998</v>
      </c>
      <c r="F10" s="46">
        <f>E10*1.08</f>
        <v>2588.9857200000001</v>
      </c>
      <c r="G10" s="46">
        <f t="shared" ref="G10:I10" si="2">F10*1.08</f>
        <v>2796.1045776000005</v>
      </c>
      <c r="H10" s="46">
        <f t="shared" si="2"/>
        <v>3019.7929438080009</v>
      </c>
      <c r="I10" s="46">
        <f t="shared" si="2"/>
        <v>3261.3763793126413</v>
      </c>
    </row>
    <row r="11" spans="1:9" s="3" customFormat="1" ht="16.95" customHeight="1">
      <c r="A11" s="37" t="s">
        <v>107</v>
      </c>
      <c r="B11" s="37">
        <f>SUM(B4:B10)</f>
        <v>4819.6559999999999</v>
      </c>
      <c r="C11" s="37">
        <f t="shared" ref="C11:E11" si="3">SUM(C4:C10)</f>
        <v>5263.607</v>
      </c>
      <c r="D11" s="37">
        <f t="shared" si="3"/>
        <v>6482.5920000000006</v>
      </c>
      <c r="E11" s="37">
        <f t="shared" si="3"/>
        <v>7558.3519999999999</v>
      </c>
      <c r="F11" s="37">
        <f t="shared" ref="F11" si="4">SUM(F4:F10)</f>
        <v>9210.5020217549063</v>
      </c>
      <c r="G11" s="37">
        <f t="shared" ref="G11" si="5">SUM(G4:G10)</f>
        <v>10968.528456041948</v>
      </c>
      <c r="H11" s="37">
        <f t="shared" ref="H11" si="6">SUM(H4:H10)</f>
        <v>12876.291951275747</v>
      </c>
      <c r="I11" s="37">
        <f t="shared" ref="I11" si="7">SUM(I4:I10)</f>
        <v>14911.738236450383</v>
      </c>
    </row>
    <row r="12" spans="1:9">
      <c r="A12" s="26"/>
      <c r="B12" s="26"/>
      <c r="C12" s="26"/>
      <c r="D12" s="26"/>
      <c r="E12" s="26"/>
      <c r="F12" s="26"/>
      <c r="G12" s="26"/>
      <c r="H12" s="26"/>
      <c r="I12" s="26"/>
    </row>
    <row r="13" spans="1:9" ht="16.95" customHeight="1">
      <c r="A13" s="26" t="s">
        <v>86</v>
      </c>
      <c r="B13" s="26">
        <f>'Working Capital &amp; Financing'!B9</f>
        <v>336.86200000000002</v>
      </c>
      <c r="C13" s="26">
        <f>'Working Capital &amp; Financing'!C9</f>
        <v>334.35700000000003</v>
      </c>
      <c r="D13" s="26">
        <f>'Working Capital &amp; Financing'!D9</f>
        <v>354.9</v>
      </c>
      <c r="E13" s="26">
        <f>'Working Capital &amp; Financing'!E9</f>
        <v>461.76600000000002</v>
      </c>
      <c r="F13" s="26">
        <f>'Working Capital &amp; Financing'!F9</f>
        <v>516.51532926891775</v>
      </c>
      <c r="G13" s="26">
        <f>'Working Capital &amp; Financing'!G9</f>
        <v>548.86098411754574</v>
      </c>
      <c r="H13" s="26">
        <f>'Working Capital &amp; Financing'!H9</f>
        <v>595.89558502290686</v>
      </c>
      <c r="I13" s="26">
        <f>'Working Capital &amp; Financing'!I9</f>
        <v>630.13111311213856</v>
      </c>
    </row>
    <row r="14" spans="1:9" ht="16.95" customHeight="1">
      <c r="A14" s="26" t="s">
        <v>94</v>
      </c>
      <c r="B14" s="26">
        <f>'Working Capital &amp; Financing'!B20</f>
        <v>2251.9029999999998</v>
      </c>
      <c r="C14" s="26">
        <f>'Working Capital &amp; Financing'!C20</f>
        <v>2264.3939999999998</v>
      </c>
      <c r="D14" s="26">
        <f>'Working Capital &amp; Financing'!D20</f>
        <v>2282.6790000000001</v>
      </c>
      <c r="E14" s="26">
        <f>'Working Capital &amp; Financing'!E20</f>
        <v>2625.1210000000001</v>
      </c>
      <c r="F14" s="26">
        <f>'Working Capital &amp; Financing'!F20</f>
        <v>2756.3770500000001</v>
      </c>
      <c r="G14" s="26">
        <f>'Working Capital &amp; Financing'!G20</f>
        <v>2894.1959025000001</v>
      </c>
      <c r="H14" s="26">
        <f>'Working Capital &amp; Financing'!H20</f>
        <v>3038.9056976250004</v>
      </c>
      <c r="I14" s="26">
        <f>'Working Capital &amp; Financing'!I20</f>
        <v>3190.8509825062506</v>
      </c>
    </row>
    <row r="15" spans="1:9" ht="16.95" customHeight="1">
      <c r="A15" s="26" t="s">
        <v>95</v>
      </c>
      <c r="B15" s="26" cm="1">
        <f t="array" ref="B15:I15">'Working Capital &amp; Financing'!B21:I21</f>
        <v>1960.7429999999999</v>
      </c>
      <c r="C15" s="26">
        <v>2069.2289999999998</v>
      </c>
      <c r="D15" s="26">
        <v>2426.9769999999999</v>
      </c>
      <c r="E15" s="26">
        <v>2770.473</v>
      </c>
      <c r="F15" s="26">
        <v>2992.1108400000003</v>
      </c>
      <c r="G15" s="26">
        <v>3231.4797072000006</v>
      </c>
      <c r="H15" s="26">
        <v>3489.9980837760008</v>
      </c>
      <c r="I15" s="26">
        <v>3769.1979304780812</v>
      </c>
    </row>
    <row r="16" spans="1:9" ht="16.95" customHeight="1">
      <c r="A16" s="26" t="s">
        <v>108</v>
      </c>
      <c r="B16" s="47">
        <v>241.738</v>
      </c>
      <c r="C16" s="47">
        <v>214.779</v>
      </c>
      <c r="D16" s="47">
        <v>229.77799999999999</v>
      </c>
      <c r="E16" s="47">
        <v>245.10400000000001</v>
      </c>
      <c r="F16" s="46">
        <f>E16*1.05</f>
        <v>257.35920000000004</v>
      </c>
      <c r="G16" s="46">
        <f t="shared" ref="G16:I16" si="8">F16*1.05</f>
        <v>270.22716000000008</v>
      </c>
      <c r="H16" s="46">
        <f t="shared" si="8"/>
        <v>283.73851800000011</v>
      </c>
      <c r="I16" s="46">
        <f t="shared" si="8"/>
        <v>297.92544390000012</v>
      </c>
    </row>
    <row r="17" spans="1:9" s="3" customFormat="1" ht="16.95" customHeight="1">
      <c r="A17" s="37" t="s">
        <v>109</v>
      </c>
      <c r="B17" s="37">
        <f>SUM(B13:B16)</f>
        <v>4791.2460000000001</v>
      </c>
      <c r="C17" s="37">
        <f t="shared" ref="C17:E17" si="9">SUM(C13:C16)</f>
        <v>4882.759</v>
      </c>
      <c r="D17" s="37">
        <f t="shared" si="9"/>
        <v>5294.3340000000007</v>
      </c>
      <c r="E17" s="37">
        <f t="shared" si="9"/>
        <v>6102.4640000000009</v>
      </c>
      <c r="F17" s="37">
        <f t="shared" ref="F17" si="10">SUM(F13:F16)</f>
        <v>6522.3624192689176</v>
      </c>
      <c r="G17" s="37">
        <f t="shared" ref="G17" si="11">SUM(G13:G16)</f>
        <v>6944.7637538175468</v>
      </c>
      <c r="H17" s="37">
        <f t="shared" ref="H17" si="12">SUM(H13:H16)</f>
        <v>7408.5378844239076</v>
      </c>
      <c r="I17" s="37">
        <f t="shared" ref="I17" si="13">SUM(I13:I16)</f>
        <v>7888.1054699964698</v>
      </c>
    </row>
    <row r="18" spans="1:9">
      <c r="A18" s="26"/>
      <c r="B18" s="26"/>
      <c r="C18" s="26"/>
      <c r="D18" s="26"/>
      <c r="E18" s="26"/>
      <c r="F18" s="26"/>
      <c r="G18" s="26"/>
      <c r="H18" s="26"/>
      <c r="I18" s="26"/>
    </row>
    <row r="19" spans="1:9" s="3" customFormat="1" ht="16.95" customHeight="1">
      <c r="A19" s="37" t="s">
        <v>110</v>
      </c>
      <c r="B19" s="48">
        <f>'Historical &amp; Assumptions'!B38</f>
        <v>28.41</v>
      </c>
      <c r="C19" s="48">
        <f>'Historical &amp; Assumptions'!C38</f>
        <v>380.84800000000001</v>
      </c>
      <c r="D19" s="48">
        <f>'Historical &amp; Assumptions'!D38</f>
        <v>1188.258</v>
      </c>
      <c r="E19" s="48">
        <f>'Historical &amp; Assumptions'!E38</f>
        <v>1455.8879999999999</v>
      </c>
      <c r="F19" s="48">
        <f>E19+'P &amp; L'!F16-'Historical &amp; Assumptions'!G53-'Historical &amp; Assumptions'!G52</f>
        <v>2688.1392216281456</v>
      </c>
      <c r="G19" s="48">
        <f>F19+'P &amp; L'!G16-'Historical &amp; Assumptions'!H53-'Historical &amp; Assumptions'!H52</f>
        <v>4023.7648845872232</v>
      </c>
      <c r="H19" s="48">
        <f>G19+'P &amp; L'!H16-'Historical &amp; Assumptions'!I53-'Historical &amp; Assumptions'!I52</f>
        <v>5467.7540016591438</v>
      </c>
      <c r="I19" s="48">
        <f>H19+'P &amp; L'!I16-'Historical &amp; Assumptions'!J53-'Historical &amp; Assumptions'!J52</f>
        <v>7023.6331967896031</v>
      </c>
    </row>
    <row r="20" spans="1:9" s="3" customFormat="1" ht="16.95" customHeight="1">
      <c r="A20" s="37" t="s">
        <v>111</v>
      </c>
      <c r="B20" s="37">
        <f>B17+B19</f>
        <v>4819.6559999999999</v>
      </c>
      <c r="C20" s="37">
        <f t="shared" ref="C20:E20" si="14">C17+C19</f>
        <v>5263.607</v>
      </c>
      <c r="D20" s="37">
        <f t="shared" si="14"/>
        <v>6482.5920000000006</v>
      </c>
      <c r="E20" s="37">
        <f t="shared" si="14"/>
        <v>7558.3520000000008</v>
      </c>
      <c r="F20" s="37">
        <f t="shared" ref="F20" si="15">F17+F19</f>
        <v>9210.5016408970623</v>
      </c>
      <c r="G20" s="37">
        <f t="shared" ref="G20" si="16">G17+G19</f>
        <v>10968.52863840477</v>
      </c>
      <c r="H20" s="37">
        <f t="shared" ref="H20" si="17">H17+H19</f>
        <v>12876.29188608305</v>
      </c>
      <c r="I20" s="37">
        <f t="shared" ref="I20" si="18">I17+I19</f>
        <v>14911.738666786074</v>
      </c>
    </row>
    <row r="21" spans="1:9" ht="16.95" customHeight="1">
      <c r="A21" s="26" t="s">
        <v>112</v>
      </c>
      <c r="B21" s="26">
        <f t="shared" ref="B21:I21" si="19">ROUND(B11-B20,2)</f>
        <v>0</v>
      </c>
      <c r="C21" s="26">
        <f t="shared" si="19"/>
        <v>0</v>
      </c>
      <c r="D21" s="26">
        <f t="shared" si="19"/>
        <v>0</v>
      </c>
      <c r="E21" s="26">
        <f t="shared" si="19"/>
        <v>0</v>
      </c>
      <c r="F21" s="26">
        <f t="shared" si="19"/>
        <v>0</v>
      </c>
      <c r="G21" s="26">
        <f t="shared" si="19"/>
        <v>0</v>
      </c>
      <c r="H21" s="26">
        <f t="shared" si="19"/>
        <v>0</v>
      </c>
      <c r="I21" s="26">
        <f t="shared" si="19"/>
        <v>0</v>
      </c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8620B-C684-442E-B8CD-6C5EBCB7DB91}">
  <dimension ref="A1:I22"/>
  <sheetViews>
    <sheetView showGridLines="0" workbookViewId="0">
      <selection activeCell="L14" sqref="L14"/>
    </sheetView>
  </sheetViews>
  <sheetFormatPr defaultRowHeight="14.4"/>
  <cols>
    <col min="1" max="1" width="24.44140625" bestFit="1" customWidth="1"/>
  </cols>
  <sheetData>
    <row r="1" spans="1:9" ht="36" customHeight="1">
      <c r="A1" s="62" t="s">
        <v>233</v>
      </c>
      <c r="B1" s="64"/>
      <c r="C1" s="64"/>
      <c r="D1" s="64"/>
      <c r="E1" s="64"/>
      <c r="F1" s="64"/>
      <c r="G1" s="64"/>
      <c r="H1" s="64"/>
      <c r="I1" s="64"/>
    </row>
    <row r="3" spans="1:9" ht="24" customHeight="1">
      <c r="A3" s="13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</row>
    <row r="4" spans="1:9" ht="16.95" customHeight="1">
      <c r="A4" s="26" t="s">
        <v>98</v>
      </c>
      <c r="B4" s="26" cm="1">
        <f t="array" ref="B4:I4">'P &amp; L'!B16:I16</f>
        <v>756.46400000000028</v>
      </c>
      <c r="C4" s="26">
        <v>935.16699999999958</v>
      </c>
      <c r="D4" s="26">
        <v>1038.6399999999999</v>
      </c>
      <c r="E4" s="26">
        <v>1107.5540000000003</v>
      </c>
      <c r="F4" s="26">
        <v>1232.2512216281455</v>
      </c>
      <c r="G4" s="26">
        <v>1335.6256629590775</v>
      </c>
      <c r="H4" s="26">
        <v>1443.9891170719204</v>
      </c>
      <c r="I4" s="26">
        <v>1555.8791951304593</v>
      </c>
    </row>
    <row r="5" spans="1:9" ht="16.95" customHeight="1">
      <c r="A5" s="26" t="s">
        <v>49</v>
      </c>
      <c r="B5" s="26" cm="1">
        <f t="array" ref="B5:I5">'P &amp; L'!B11:I11</f>
        <v>331.79199999999997</v>
      </c>
      <c r="C5" s="26">
        <v>348.142</v>
      </c>
      <c r="D5" s="26">
        <v>382.80500000000001</v>
      </c>
      <c r="E5" s="26">
        <v>429.053</v>
      </c>
      <c r="F5" s="26">
        <v>489.47748019059304</v>
      </c>
      <c r="G5" s="26">
        <v>521.99756026818932</v>
      </c>
      <c r="H5" s="26">
        <v>555.54510823608939</v>
      </c>
      <c r="I5" s="26">
        <v>589.58704961235981</v>
      </c>
    </row>
    <row r="6" spans="1:9" ht="16.95" customHeight="1">
      <c r="A6" s="26" t="s">
        <v>113</v>
      </c>
      <c r="B6" s="26">
        <f>'Historical &amp; Assumptions'!B43</f>
        <v>-351.21800000000002</v>
      </c>
      <c r="C6" s="26">
        <f>'Historical &amp; Assumptions'!C43</f>
        <v>52.543999999999997</v>
      </c>
      <c r="D6" s="26">
        <f>'Historical &amp; Assumptions'!D43</f>
        <v>-6.7519999999999998</v>
      </c>
      <c r="E6" s="26">
        <f>'Historical &amp; Assumptions'!E43</f>
        <v>-55.874000000000002</v>
      </c>
      <c r="F6" s="34">
        <f>'Working Capital &amp; Financing'!E10-'Working Capital &amp; Financing'!F10</f>
        <v>-77.374016615328742</v>
      </c>
      <c r="G6" s="34">
        <f>'Working Capital &amp; Financing'!F10-'Working Capital &amp; Financing'!G10</f>
        <v>-21.454855695074798</v>
      </c>
      <c r="H6" s="34">
        <f>'Working Capital &amp; Financing'!G10-'Working Capital &amp; Financing'!H10</f>
        <v>-5.6769528936453071</v>
      </c>
      <c r="I6" s="34">
        <f>'Working Capital &amp; Financing'!H10-'Working Capital &amp; Financing'!I10</f>
        <v>-15.948941536601637</v>
      </c>
    </row>
    <row r="7" spans="1:9" ht="16.95" customHeight="1">
      <c r="A7" s="26" t="s">
        <v>114</v>
      </c>
      <c r="B7" s="26">
        <f>B8-B4-B5-B6</f>
        <v>132.00499999999977</v>
      </c>
      <c r="C7" s="26">
        <f t="shared" ref="C7:E7" si="0">C8-C4-C5-C6</f>
        <v>195.1010000000004</v>
      </c>
      <c r="D7" s="26">
        <f t="shared" si="0"/>
        <v>229.44600000000003</v>
      </c>
      <c r="E7" s="26">
        <f t="shared" si="0"/>
        <v>280.42299999999966</v>
      </c>
      <c r="F7" s="34">
        <f>E7*1.05</f>
        <v>294.44414999999964</v>
      </c>
      <c r="G7" s="34">
        <f t="shared" ref="G7:I7" si="1">F7*1.05</f>
        <v>309.16635749999961</v>
      </c>
      <c r="H7" s="34">
        <f t="shared" si="1"/>
        <v>324.62467537499958</v>
      </c>
      <c r="I7" s="34">
        <f t="shared" si="1"/>
        <v>340.85590914374956</v>
      </c>
    </row>
    <row r="8" spans="1:9" s="3" customFormat="1" ht="16.95" customHeight="1">
      <c r="A8" s="37" t="s">
        <v>115</v>
      </c>
      <c r="B8" s="37">
        <f>'Historical &amp; Assumptions'!B39</f>
        <v>869.04300000000001</v>
      </c>
      <c r="C8" s="37">
        <f>'Historical &amp; Assumptions'!C39</f>
        <v>1530.954</v>
      </c>
      <c r="D8" s="37">
        <f>'Historical &amp; Assumptions'!D39</f>
        <v>1644.1389999999999</v>
      </c>
      <c r="E8" s="37">
        <f>'Historical &amp; Assumptions'!E39</f>
        <v>1761.1559999999999</v>
      </c>
      <c r="F8" s="37">
        <f>SUM(F4:F7)</f>
        <v>1938.7988352034092</v>
      </c>
      <c r="G8" s="37">
        <f t="shared" ref="G8:I8" si="2">SUM(G4:G7)</f>
        <v>2145.3347250321917</v>
      </c>
      <c r="H8" s="37">
        <f t="shared" si="2"/>
        <v>2318.4819477893643</v>
      </c>
      <c r="I8" s="37">
        <f t="shared" si="2"/>
        <v>2470.3732123499672</v>
      </c>
    </row>
    <row r="9" spans="1:9">
      <c r="A9" s="26"/>
      <c r="B9" s="26"/>
      <c r="C9" s="26"/>
      <c r="D9" s="26"/>
      <c r="E9" s="26"/>
      <c r="F9" s="26"/>
      <c r="G9" s="26"/>
      <c r="H9" s="26"/>
      <c r="I9" s="26"/>
    </row>
    <row r="10" spans="1:9" ht="16.95" customHeight="1">
      <c r="A10" s="26" t="s">
        <v>221</v>
      </c>
      <c r="B10" s="26">
        <f>-'PP&amp;E &amp; Capex'!B6</f>
        <v>-156.827</v>
      </c>
      <c r="C10" s="26">
        <f>-'PP&amp;E &amp; Capex'!C6</f>
        <v>-278.76400000000001</v>
      </c>
      <c r="D10" s="26">
        <f>-'PP&amp;E &amp; Capex'!D6</f>
        <v>-243.45</v>
      </c>
      <c r="E10" s="26">
        <f>-'PP&amp;E &amp; Capex'!E6</f>
        <v>-272.78100000000001</v>
      </c>
      <c r="F10" s="26">
        <f>-'PP&amp;E &amp; Capex'!F6</f>
        <v>-313.16959332749997</v>
      </c>
      <c r="G10" s="26">
        <f>-'PP&amp;E &amp; Capex'!G6</f>
        <v>-333.97606689378745</v>
      </c>
      <c r="H10" s="26">
        <f>-'PP&amp;E &amp; Capex'!H6</f>
        <v>-346.326074346018</v>
      </c>
      <c r="I10" s="26">
        <f>-'PP&amp;E &amp; Capex'!I6</f>
        <v>-367.54777487974098</v>
      </c>
    </row>
    <row r="11" spans="1:9" ht="16.95" customHeight="1">
      <c r="A11" s="26" t="s">
        <v>125</v>
      </c>
      <c r="B11" s="26">
        <f>-'Working Capital &amp; Financing'!B23</f>
        <v>-115.39400000000001</v>
      </c>
      <c r="C11" s="26">
        <f>-'Working Capital &amp; Financing'!C23</f>
        <v>-144.84200000000001</v>
      </c>
      <c r="D11" s="26">
        <f>-'Working Capital &amp; Financing'!D23</f>
        <v>-163.78200000000001</v>
      </c>
      <c r="E11" s="26">
        <f>-'Working Capital &amp; Financing'!E23</f>
        <v>-184.02</v>
      </c>
      <c r="F11" s="26">
        <v>-279.2</v>
      </c>
      <c r="G11" s="26">
        <v>-277.73500000000001</v>
      </c>
      <c r="H11" s="26">
        <v>-275.928</v>
      </c>
      <c r="I11" s="26">
        <v>-272.12700000000001</v>
      </c>
    </row>
    <row r="12" spans="1:9" s="3" customFormat="1" ht="16.95" customHeight="1">
      <c r="A12" s="37" t="s">
        <v>116</v>
      </c>
      <c r="B12" s="37">
        <f>B10</f>
        <v>-156.827</v>
      </c>
      <c r="C12" s="37">
        <f>C10</f>
        <v>-278.76400000000001</v>
      </c>
      <c r="D12" s="37">
        <f>D10</f>
        <v>-243.45</v>
      </c>
      <c r="E12" s="37">
        <f>E10</f>
        <v>-272.78100000000001</v>
      </c>
      <c r="F12" s="37">
        <f>SUM(F10:F11)</f>
        <v>-592.36959332749996</v>
      </c>
      <c r="G12" s="37">
        <f t="shared" ref="G12:I12" si="3">SUM(G10:G11)</f>
        <v>-611.71106689378746</v>
      </c>
      <c r="H12" s="37">
        <f t="shared" si="3"/>
        <v>-622.254074346018</v>
      </c>
      <c r="I12" s="37">
        <f t="shared" si="3"/>
        <v>-639.67477487974099</v>
      </c>
    </row>
    <row r="13" spans="1:9">
      <c r="A13" s="26"/>
      <c r="B13" s="26"/>
      <c r="C13" s="26"/>
      <c r="D13" s="26"/>
      <c r="E13" s="26"/>
      <c r="F13" s="26"/>
      <c r="G13" s="26"/>
      <c r="H13" s="26"/>
      <c r="I13" s="26"/>
    </row>
    <row r="14" spans="1:9" ht="16.95" customHeight="1">
      <c r="A14" s="26" t="s">
        <v>117</v>
      </c>
      <c r="B14" s="26">
        <v>365.60300000000001</v>
      </c>
      <c r="C14" s="26">
        <f>'Working Capital &amp; Financing'!C20-'Working Capital &amp; Financing'!B20</f>
        <v>12.490999999999985</v>
      </c>
      <c r="D14" s="26">
        <f>'Working Capital &amp; Financing'!D20-'Working Capital &amp; Financing'!C20</f>
        <v>18.285000000000309</v>
      </c>
      <c r="E14" s="26">
        <f>'Working Capital &amp; Financing'!E20-'Working Capital &amp; Financing'!D20</f>
        <v>342.44200000000001</v>
      </c>
      <c r="F14" s="26">
        <f>'Working Capital &amp; Financing'!F20-'Working Capital &amp; Financing'!E20</f>
        <v>131.25604999999996</v>
      </c>
      <c r="G14" s="26">
        <f>'Working Capital &amp; Financing'!G20-'Working Capital &amp; Financing'!F20</f>
        <v>137.81885250000005</v>
      </c>
      <c r="H14" s="26">
        <f>'Working Capital &amp; Financing'!H20-'Working Capital &amp; Financing'!G20</f>
        <v>144.70979512500026</v>
      </c>
      <c r="I14" s="26">
        <f>'Working Capital &amp; Financing'!I20-'Working Capital &amp; Financing'!H20</f>
        <v>151.94528488125025</v>
      </c>
    </row>
    <row r="15" spans="1:9" ht="16.95" customHeight="1">
      <c r="A15" s="26" t="s">
        <v>118</v>
      </c>
      <c r="B15" s="26">
        <f>-'Historical &amp; Assumptions'!B44</f>
        <v>-253.566</v>
      </c>
      <c r="C15" s="26">
        <f>-'Historical &amp; Assumptions'!C44</f>
        <v>-284.83600000000001</v>
      </c>
      <c r="D15" s="26">
        <f>-'Historical &amp; Assumptions'!D44</f>
        <v>-317.82900000000001</v>
      </c>
      <c r="E15" s="26">
        <f>-'Historical &amp; Assumptions'!E44</f>
        <v>-390.33300000000003</v>
      </c>
      <c r="F15" s="26">
        <f>E15*1.08</f>
        <v>-421.55964000000006</v>
      </c>
      <c r="G15" s="26">
        <f t="shared" ref="G15:I15" si="4">F15*1.08</f>
        <v>-455.28441120000008</v>
      </c>
      <c r="H15" s="26">
        <f t="shared" si="4"/>
        <v>-491.7071640960001</v>
      </c>
      <c r="I15" s="26">
        <f t="shared" si="4"/>
        <v>-531.04373722368018</v>
      </c>
    </row>
    <row r="16" spans="1:9" ht="16.95" customHeight="1">
      <c r="A16" s="26" t="s">
        <v>119</v>
      </c>
      <c r="B16" s="26" cm="1">
        <f t="array" ref="B16:I16">-'Historical &amp; Assumptions'!C52:J52</f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</row>
    <row r="17" spans="1:9" ht="16.95" customHeight="1">
      <c r="A17" s="26" t="s">
        <v>120</v>
      </c>
      <c r="B17" s="26" cm="1">
        <f t="array" ref="B17:I17">-'Historical &amp; Assumptions'!C53:J53</f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</row>
    <row r="18" spans="1:9" s="3" customFormat="1" ht="16.95" customHeight="1">
      <c r="A18" s="37" t="s">
        <v>121</v>
      </c>
      <c r="B18" s="48">
        <f t="shared" ref="B18:I18" si="5">SUM(B14:B17)</f>
        <v>112.03700000000001</v>
      </c>
      <c r="C18" s="48">
        <f t="shared" si="5"/>
        <v>-272.34500000000003</v>
      </c>
      <c r="D18" s="48">
        <f t="shared" si="5"/>
        <v>-299.5439999999997</v>
      </c>
      <c r="E18" s="48">
        <f t="shared" si="5"/>
        <v>-47.89100000000002</v>
      </c>
      <c r="F18" s="48">
        <f t="shared" si="5"/>
        <v>-290.3035900000001</v>
      </c>
      <c r="G18" s="48">
        <f t="shared" si="5"/>
        <v>-317.46555870000003</v>
      </c>
      <c r="H18" s="48">
        <f t="shared" si="5"/>
        <v>-346.99736897099984</v>
      </c>
      <c r="I18" s="48">
        <f t="shared" si="5"/>
        <v>-379.09845234242994</v>
      </c>
    </row>
    <row r="19" spans="1:9">
      <c r="A19" s="26"/>
      <c r="B19" s="26"/>
      <c r="C19" s="26"/>
      <c r="D19" s="26"/>
      <c r="E19" s="26"/>
      <c r="F19" s="26"/>
      <c r="G19" s="26"/>
      <c r="H19" s="26"/>
      <c r="I19" s="26"/>
    </row>
    <row r="20" spans="1:9" ht="16.95" customHeight="1">
      <c r="A20" s="26" t="s">
        <v>122</v>
      </c>
      <c r="B20" s="26">
        <f t="shared" ref="B20:I20" si="6">B8+B12+B18</f>
        <v>824.25300000000004</v>
      </c>
      <c r="C20" s="26">
        <f t="shared" si="6"/>
        <v>979.84500000000003</v>
      </c>
      <c r="D20" s="26">
        <f t="shared" si="6"/>
        <v>1101.1450000000002</v>
      </c>
      <c r="E20" s="26">
        <f t="shared" si="6"/>
        <v>1440.4839999999999</v>
      </c>
      <c r="F20" s="26">
        <f t="shared" si="6"/>
        <v>1056.1256518759092</v>
      </c>
      <c r="G20" s="26">
        <f t="shared" si="6"/>
        <v>1216.1580994384042</v>
      </c>
      <c r="H20" s="26">
        <f t="shared" si="6"/>
        <v>1349.2305044723464</v>
      </c>
      <c r="I20" s="26">
        <f t="shared" si="6"/>
        <v>1451.5999851277961</v>
      </c>
    </row>
    <row r="21" spans="1:9" ht="16.95" customHeight="1">
      <c r="A21" s="26" t="s">
        <v>123</v>
      </c>
      <c r="B21" s="26">
        <v>71.058000000000007</v>
      </c>
      <c r="C21" s="26">
        <f>B22</f>
        <v>101.261</v>
      </c>
      <c r="D21" s="26">
        <f t="shared" ref="D21:I21" si="7">C22</f>
        <v>313.91500000000002</v>
      </c>
      <c r="E21" s="26">
        <f t="shared" si="7"/>
        <v>122.685</v>
      </c>
      <c r="F21" s="26">
        <f t="shared" si="7"/>
        <v>331.56900000000002</v>
      </c>
      <c r="G21" s="26">
        <f t="shared" si="7"/>
        <v>1387.6946518759091</v>
      </c>
      <c r="H21" s="26">
        <f t="shared" si="7"/>
        <v>2603.8527513143135</v>
      </c>
      <c r="I21" s="26">
        <f t="shared" si="7"/>
        <v>3953.0832557866597</v>
      </c>
    </row>
    <row r="22" spans="1:9" s="3" customFormat="1" ht="16.95" customHeight="1">
      <c r="A22" s="37" t="s">
        <v>124</v>
      </c>
      <c r="B22" s="37">
        <f>'Balance Sheet'!B4</f>
        <v>101.261</v>
      </c>
      <c r="C22" s="37">
        <f>'Balance Sheet'!C4</f>
        <v>313.91500000000002</v>
      </c>
      <c r="D22" s="37">
        <f>'Balance Sheet'!D4</f>
        <v>122.685</v>
      </c>
      <c r="E22" s="37">
        <f>'Balance Sheet'!E4</f>
        <v>331.56900000000002</v>
      </c>
      <c r="F22" s="37">
        <f>E22+F20</f>
        <v>1387.6946518759091</v>
      </c>
      <c r="G22" s="37">
        <f t="shared" ref="G22:I22" si="8">F22+G20</f>
        <v>2603.8527513143135</v>
      </c>
      <c r="H22" s="37">
        <f t="shared" si="8"/>
        <v>3953.0832557866597</v>
      </c>
      <c r="I22" s="37">
        <f t="shared" si="8"/>
        <v>5404.6832409144554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D13AE-1656-4947-A5CC-E3A74D45DFF4}">
  <dimension ref="A1:F22"/>
  <sheetViews>
    <sheetView showGridLines="0" workbookViewId="0">
      <selection activeCell="K14" sqref="K14"/>
    </sheetView>
  </sheetViews>
  <sheetFormatPr defaultRowHeight="14.4"/>
  <cols>
    <col min="1" max="1" width="28.6640625" bestFit="1" customWidth="1"/>
    <col min="2" max="2" width="13.21875" bestFit="1" customWidth="1"/>
    <col min="3" max="6" width="16.33203125" bestFit="1" customWidth="1"/>
    <col min="10" max="10" width="16.77734375" bestFit="1" customWidth="1"/>
    <col min="11" max="11" width="13.6640625" bestFit="1" customWidth="1"/>
    <col min="12" max="15" width="16.21875" bestFit="1" customWidth="1"/>
  </cols>
  <sheetData>
    <row r="1" spans="1:6" ht="36" customHeight="1">
      <c r="A1" s="62" t="s">
        <v>236</v>
      </c>
      <c r="B1" s="64"/>
      <c r="C1" s="64"/>
      <c r="D1" s="64"/>
      <c r="E1" s="64"/>
      <c r="F1" s="64"/>
    </row>
    <row r="3" spans="1:6" ht="24" customHeight="1">
      <c r="A3" s="13" t="s">
        <v>131</v>
      </c>
      <c r="B3" s="12" t="s">
        <v>126</v>
      </c>
      <c r="C3" s="12" t="s">
        <v>127</v>
      </c>
      <c r="D3" s="12" t="s">
        <v>128</v>
      </c>
      <c r="E3" s="12" t="s">
        <v>129</v>
      </c>
      <c r="F3" s="12" t="s">
        <v>130</v>
      </c>
    </row>
    <row r="4" spans="1:6" s="3" customFormat="1" ht="16.95" customHeight="1">
      <c r="A4" s="37" t="s">
        <v>47</v>
      </c>
      <c r="B4" s="43">
        <f>'Operating Model'!F4</f>
        <v>8029.9895724999988</v>
      </c>
      <c r="C4" s="43">
        <f>'Operating Model'!E4*(1+'Budget &amp; Reforecast'!C5)</f>
        <v>7957.4320324999981</v>
      </c>
      <c r="D4" s="43">
        <f>C4*(1+D5)</f>
        <v>8474.6651146124968</v>
      </c>
      <c r="E4" s="43">
        <f t="shared" ref="E4:F4" si="0">D4*(1+E5)</f>
        <v>9008.5690168330839</v>
      </c>
      <c r="F4" s="43">
        <f t="shared" si="0"/>
        <v>9549.0831578430698</v>
      </c>
    </row>
    <row r="5" spans="1:6" ht="16.95" customHeight="1">
      <c r="A5" s="26" t="s">
        <v>46</v>
      </c>
      <c r="B5" s="33">
        <f>'Operating Model'!F5</f>
        <v>0.10670642534187325</v>
      </c>
      <c r="C5" s="33">
        <f>B5-1%</f>
        <v>9.6706425341873251E-2</v>
      </c>
      <c r="D5" s="33">
        <v>6.5000000000000002E-2</v>
      </c>
      <c r="E5" s="33">
        <v>6.3E-2</v>
      </c>
      <c r="F5" s="33">
        <v>0.06</v>
      </c>
    </row>
    <row r="6" spans="1:6" s="3" customFormat="1" ht="16.95" customHeight="1">
      <c r="A6" s="37" t="s">
        <v>72</v>
      </c>
      <c r="B6" s="43">
        <f>'Operating Model'!F6</f>
        <v>4488.7641710274993</v>
      </c>
      <c r="C6" s="43">
        <f>C4*C7</f>
        <v>4487.9916663299991</v>
      </c>
      <c r="D6" s="43">
        <f>D4*D7</f>
        <v>4762.7617944122239</v>
      </c>
      <c r="E6" s="43">
        <f t="shared" ref="E6:F6" si="1">E4*E7</f>
        <v>5044.7986494265278</v>
      </c>
      <c r="F6" s="43">
        <f t="shared" si="1"/>
        <v>5328.3884020764335</v>
      </c>
    </row>
    <row r="7" spans="1:6" ht="16.95" customHeight="1">
      <c r="A7" s="26" t="s">
        <v>133</v>
      </c>
      <c r="B7" s="33">
        <f>B6/B4</f>
        <v>0.55900000000000005</v>
      </c>
      <c r="C7" s="33">
        <f>B7+0.5%</f>
        <v>0.56400000000000006</v>
      </c>
      <c r="D7" s="33">
        <v>0.56200000000000006</v>
      </c>
      <c r="E7" s="33">
        <v>0.56000000000000005</v>
      </c>
      <c r="F7" s="33">
        <v>0.55800000000000005</v>
      </c>
    </row>
    <row r="8" spans="1:6" ht="16.95" customHeight="1">
      <c r="A8" s="26" t="s">
        <v>10</v>
      </c>
      <c r="B8" s="38">
        <f>'Operating Model'!F8</f>
        <v>0.441</v>
      </c>
      <c r="C8" s="38">
        <f>1-C7</f>
        <v>0.43599999999999994</v>
      </c>
      <c r="D8" s="38">
        <f>1-D7</f>
        <v>0.43799999999999994</v>
      </c>
      <c r="E8" s="38">
        <f t="shared" ref="E8:F8" si="2">1-E7</f>
        <v>0.43999999999999995</v>
      </c>
      <c r="F8" s="38">
        <f t="shared" si="2"/>
        <v>0.44199999999999995</v>
      </c>
    </row>
    <row r="9" spans="1:6" ht="16.95" customHeight="1">
      <c r="A9" s="26" t="s">
        <v>132</v>
      </c>
      <c r="B9" s="38">
        <f>'Operating Model'!F10</f>
        <v>0.15</v>
      </c>
      <c r="C9" s="38">
        <f>B9+0.3%</f>
        <v>0.153</v>
      </c>
      <c r="D9" s="38">
        <v>0.152</v>
      </c>
      <c r="E9" s="38">
        <v>0.151</v>
      </c>
      <c r="F9" s="38">
        <v>0.15</v>
      </c>
    </row>
    <row r="10" spans="1:6" s="3" customFormat="1" ht="16.95" customHeight="1">
      <c r="A10" s="37" t="s">
        <v>13</v>
      </c>
      <c r="B10" s="43">
        <f>'Operating Model'!F11</f>
        <v>2336.7269655974997</v>
      </c>
      <c r="C10" s="43">
        <f>C4*(C8-C9)</f>
        <v>2251.9532651974987</v>
      </c>
      <c r="D10" s="43">
        <f>D4*(D8-D9)</f>
        <v>2423.7542227791732</v>
      </c>
      <c r="E10" s="43">
        <f t="shared" ref="E10:F10" si="3">E4*(E8-E9)</f>
        <v>2603.4764458647605</v>
      </c>
      <c r="F10" s="43">
        <f t="shared" si="3"/>
        <v>2788.3322820901758</v>
      </c>
    </row>
    <row r="11" spans="1:6" ht="16.95" customHeight="1">
      <c r="A11" s="26" t="s">
        <v>14</v>
      </c>
      <c r="B11" s="33">
        <f>'Operating Model'!F12</f>
        <v>0.29099999999999998</v>
      </c>
      <c r="C11" s="33">
        <f>C10/C4</f>
        <v>0.28299999999999992</v>
      </c>
      <c r="D11" s="33">
        <f>D10/D4</f>
        <v>0.28599999999999992</v>
      </c>
      <c r="E11" s="33">
        <f t="shared" ref="E11:F11" si="4">E10/E4</f>
        <v>0.28899999999999992</v>
      </c>
      <c r="F11" s="33">
        <f t="shared" si="4"/>
        <v>0.29199999999999993</v>
      </c>
    </row>
    <row r="12" spans="1:6" s="3" customFormat="1" ht="16.95" customHeight="1">
      <c r="A12" s="37" t="s">
        <v>97</v>
      </c>
      <c r="B12" s="43">
        <f>'Operating Model'!F15</f>
        <v>1847.2494854069066</v>
      </c>
      <c r="C12" s="43">
        <f>C10-'Operating Model'!F13</f>
        <v>1762.4757850069057</v>
      </c>
      <c r="D12" s="43">
        <f>D10-(D4*6.1%)</f>
        <v>1906.7996507878111</v>
      </c>
      <c r="E12" s="43">
        <f t="shared" ref="E12:F12" si="5">E10-(E4*6.1%)</f>
        <v>2053.9537358379425</v>
      </c>
      <c r="F12" s="43">
        <f t="shared" si="5"/>
        <v>2205.8382094617486</v>
      </c>
    </row>
    <row r="13" spans="1:6" s="3" customFormat="1" ht="24" customHeight="1">
      <c r="A13" s="37" t="s">
        <v>98</v>
      </c>
      <c r="B13" s="43">
        <f>'P &amp; L'!F16</f>
        <v>1232.2512216281455</v>
      </c>
      <c r="C13" s="43">
        <f>('Budget &amp; Reforecast'!C12-'P &amp; L'!F13)*(1-25.5%)</f>
        <v>1169.0948148301447</v>
      </c>
      <c r="D13" s="43">
        <f>('Budget &amp; Reforecast'!D12-'P &amp; L'!G13)*(1-25.5%)</f>
        <v>1269.4186125869192</v>
      </c>
      <c r="E13" s="43">
        <f>('Budget &amp; Reforecast'!E12-'P &amp; L'!H13)*(1-25.5%)</f>
        <v>1371.4910495867671</v>
      </c>
      <c r="F13" s="43">
        <f>('Budget &amp; Reforecast'!F12-'P &amp; L'!I13)*(1-25.5%)</f>
        <v>1476.7097582558777</v>
      </c>
    </row>
    <row r="14" spans="1:6" ht="16.95" customHeight="1">
      <c r="A14" s="26" t="s">
        <v>99</v>
      </c>
      <c r="B14" s="38">
        <f>'P &amp; L'!F17</f>
        <v>0.15345614219079307</v>
      </c>
      <c r="C14" s="33">
        <f>C13/C4</f>
        <v>0.14691860515494073</v>
      </c>
      <c r="D14" s="33">
        <f t="shared" ref="D14:F14" si="6">D13/D4</f>
        <v>0.14978982595997992</v>
      </c>
      <c r="E14" s="33">
        <f t="shared" si="6"/>
        <v>0.15224294191719559</v>
      </c>
      <c r="F14" s="33">
        <f t="shared" si="6"/>
        <v>0.15464414057835416</v>
      </c>
    </row>
    <row r="16" spans="1:6" ht="24" customHeight="1">
      <c r="A16" s="13" t="s">
        <v>131</v>
      </c>
      <c r="B16" s="13" t="s">
        <v>137</v>
      </c>
    </row>
    <row r="17" spans="1:2" ht="16.95" customHeight="1">
      <c r="A17" s="26" t="s">
        <v>136</v>
      </c>
      <c r="B17" s="34">
        <f>C4-B4</f>
        <v>-72.557540000000699</v>
      </c>
    </row>
    <row r="18" spans="1:2" ht="16.95" customHeight="1">
      <c r="A18" s="26" t="s">
        <v>214</v>
      </c>
      <c r="B18" s="38">
        <f>B17/B4</f>
        <v>-9.0358199528036455E-3</v>
      </c>
    </row>
    <row r="19" spans="1:2" ht="16.95" customHeight="1">
      <c r="A19" s="26" t="s">
        <v>48</v>
      </c>
      <c r="B19" s="34">
        <f>C10-B10</f>
        <v>-84.773700400000962</v>
      </c>
    </row>
    <row r="20" spans="1:2" ht="16.95" customHeight="1">
      <c r="A20" s="26" t="s">
        <v>215</v>
      </c>
      <c r="B20" s="38">
        <f>B19/B10</f>
        <v>-3.6278821466128965E-2</v>
      </c>
    </row>
    <row r="21" spans="1:2" ht="16.95" customHeight="1">
      <c r="A21" s="26" t="s">
        <v>98</v>
      </c>
      <c r="B21" s="34">
        <f>C13-B13</f>
        <v>-63.156406798000717</v>
      </c>
    </row>
    <row r="22" spans="1:2" ht="16.95" customHeight="1">
      <c r="A22" s="26" t="s">
        <v>216</v>
      </c>
      <c r="B22" s="38">
        <f>B21/B13</f>
        <v>-5.1252866046708881E-2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51CF-E4B6-453A-9616-F8C97DAA1783}">
  <dimension ref="A1:I23"/>
  <sheetViews>
    <sheetView showGridLines="0" topLeftCell="A2" zoomScale="91" workbookViewId="0">
      <selection activeCell="E15" sqref="E15"/>
    </sheetView>
  </sheetViews>
  <sheetFormatPr defaultRowHeight="14.4"/>
  <cols>
    <col min="1" max="1" width="30.21875" bestFit="1" customWidth="1"/>
    <col min="2" max="2" width="14.6640625" bestFit="1" customWidth="1"/>
    <col min="3" max="3" width="16.77734375" bestFit="1" customWidth="1"/>
    <col min="4" max="4" width="21.88671875" bestFit="1" customWidth="1"/>
    <col min="5" max="5" width="41.33203125" bestFit="1" customWidth="1"/>
    <col min="6" max="6" width="21.44140625" bestFit="1" customWidth="1"/>
    <col min="7" max="7" width="24.5546875" bestFit="1" customWidth="1"/>
    <col min="8" max="8" width="16.44140625" bestFit="1" customWidth="1"/>
    <col min="9" max="9" width="19.6640625" bestFit="1" customWidth="1"/>
  </cols>
  <sheetData>
    <row r="1" spans="1:9" ht="36" customHeight="1">
      <c r="A1" s="62" t="s">
        <v>234</v>
      </c>
      <c r="B1" s="62"/>
      <c r="C1" s="62"/>
      <c r="D1" s="62"/>
      <c r="E1" s="62"/>
      <c r="F1" s="51"/>
      <c r="G1" s="51"/>
      <c r="H1" s="51"/>
      <c r="I1" s="51"/>
    </row>
    <row r="3" spans="1:9" ht="24" customHeight="1">
      <c r="A3" s="13" t="s">
        <v>138</v>
      </c>
      <c r="B3" s="12" t="s">
        <v>149</v>
      </c>
      <c r="C3" s="12" t="s">
        <v>150</v>
      </c>
      <c r="D3" s="12" t="s">
        <v>151</v>
      </c>
      <c r="E3" s="12" t="s">
        <v>152</v>
      </c>
      <c r="F3" s="12" t="s">
        <v>153</v>
      </c>
      <c r="G3" s="13" t="s">
        <v>154</v>
      </c>
      <c r="H3" s="12" t="s">
        <v>156</v>
      </c>
      <c r="I3" s="12" t="s">
        <v>157</v>
      </c>
    </row>
    <row r="4" spans="1:9" ht="16.8" customHeight="1">
      <c r="A4" s="26" t="s">
        <v>139</v>
      </c>
      <c r="B4" s="34">
        <f>F4/C4</f>
        <v>983.6737226312498</v>
      </c>
      <c r="C4" s="26">
        <v>4</v>
      </c>
      <c r="D4" s="34">
        <f>G4/E4</f>
        <v>984.83069709158394</v>
      </c>
      <c r="E4" s="26">
        <f>C4*(1+1%)</f>
        <v>4.04</v>
      </c>
      <c r="F4" s="34">
        <f>'Budget &amp; Reforecast'!$B$4*'Variance &amp; PVM'!H4</f>
        <v>3934.6948905249992</v>
      </c>
      <c r="G4" s="34">
        <f>'Budget &amp; Reforecast'!$C$4*'Variance &amp; PVM'!I4</f>
        <v>3978.716016249999</v>
      </c>
      <c r="H4" s="52">
        <v>0.49</v>
      </c>
      <c r="I4" s="52">
        <v>0.5</v>
      </c>
    </row>
    <row r="5" spans="1:9" ht="16.95" customHeight="1">
      <c r="A5" s="26" t="s">
        <v>140</v>
      </c>
      <c r="B5" s="34">
        <f t="shared" ref="B5:B6" si="0">F5/C5</f>
        <v>678.08800834444435</v>
      </c>
      <c r="C5" s="26">
        <v>4.5</v>
      </c>
      <c r="D5" s="34">
        <f t="shared" ref="D5:D6" si="1">G5/E5</f>
        <v>647.79974742024183</v>
      </c>
      <c r="E5" s="26">
        <f t="shared" ref="E5:E6" si="2">C5*(1+1%)</f>
        <v>4.5449999999999999</v>
      </c>
      <c r="F5" s="34">
        <f>'Budget &amp; Reforecast'!$B$4*'Variance &amp; PVM'!H5</f>
        <v>3051.3960375499996</v>
      </c>
      <c r="G5" s="34">
        <f>'Budget &amp; Reforecast'!$C$4*'Variance &amp; PVM'!I5</f>
        <v>2944.2498520249992</v>
      </c>
      <c r="H5" s="52">
        <v>0.38</v>
      </c>
      <c r="I5" s="52">
        <v>0.37</v>
      </c>
    </row>
    <row r="6" spans="1:9" ht="16.95" customHeight="1">
      <c r="A6" s="26" t="s">
        <v>141</v>
      </c>
      <c r="B6" s="34">
        <f t="shared" si="0"/>
        <v>298.25675554999998</v>
      </c>
      <c r="C6" s="26">
        <v>3.5</v>
      </c>
      <c r="D6" s="34">
        <f t="shared" si="1"/>
        <v>292.63540713578493</v>
      </c>
      <c r="E6" s="26">
        <f t="shared" si="2"/>
        <v>3.5350000000000001</v>
      </c>
      <c r="F6" s="34">
        <f>'Budget &amp; Reforecast'!$B$4*'Variance &amp; PVM'!H6</f>
        <v>1043.8986444249999</v>
      </c>
      <c r="G6" s="34">
        <f>'Budget &amp; Reforecast'!$C$4*'Variance &amp; PVM'!I6</f>
        <v>1034.4661642249998</v>
      </c>
      <c r="H6" s="52">
        <v>0.13</v>
      </c>
      <c r="I6" s="52">
        <v>0.13</v>
      </c>
    </row>
    <row r="7" spans="1:9" ht="16.95" customHeight="1">
      <c r="A7" s="26" t="s">
        <v>155</v>
      </c>
      <c r="B7" s="34">
        <f>SUM(B4:B6)</f>
        <v>1960.0184865256942</v>
      </c>
      <c r="C7" s="26">
        <f t="shared" ref="C7:E7" si="3">SUM(C4:C6)</f>
        <v>12</v>
      </c>
      <c r="D7" s="34">
        <f t="shared" si="3"/>
        <v>1925.2658516476108</v>
      </c>
      <c r="E7" s="26">
        <f t="shared" si="3"/>
        <v>12.120000000000001</v>
      </c>
      <c r="F7" s="34">
        <f>'Budget &amp; Reforecast'!$B$4*'Variance &amp; PVM'!H7</f>
        <v>8029.9895724999988</v>
      </c>
      <c r="G7" s="34">
        <f>'Budget &amp; Reforecast'!$C$4*'Variance &amp; PVM'!I7</f>
        <v>7957.4320324999981</v>
      </c>
      <c r="H7" s="52">
        <v>1</v>
      </c>
      <c r="I7" s="52">
        <v>1</v>
      </c>
    </row>
    <row r="9" spans="1:9" ht="24" customHeight="1">
      <c r="A9" s="13" t="s">
        <v>142</v>
      </c>
      <c r="B9" s="55"/>
      <c r="D9" s="13" t="s">
        <v>165</v>
      </c>
      <c r="E9" s="54"/>
    </row>
    <row r="10" spans="1:9" ht="16.95" customHeight="1">
      <c r="A10" s="26" t="s">
        <v>143</v>
      </c>
      <c r="B10" s="34">
        <f>'Budget &amp; Reforecast'!B4</f>
        <v>8029.9895724999988</v>
      </c>
      <c r="D10" s="26" t="s">
        <v>134</v>
      </c>
      <c r="E10" s="26" t="s">
        <v>166</v>
      </c>
    </row>
    <row r="11" spans="1:9" ht="16.95" customHeight="1">
      <c r="A11" s="26" t="s">
        <v>144</v>
      </c>
      <c r="B11" s="26" cm="1">
        <f t="array" ref="B11">SUMPRODUCT(E4:E6-C4:C6,D4:D6)</f>
        <v>78.786455767326743</v>
      </c>
      <c r="D11" s="26" t="s">
        <v>135</v>
      </c>
      <c r="E11" s="26" t="s">
        <v>167</v>
      </c>
    </row>
    <row r="12" spans="1:9" ht="16.95" customHeight="1">
      <c r="A12" s="26" t="s">
        <v>145</v>
      </c>
      <c r="B12" s="26">
        <f>(D7-B7)*(F7/B7)</f>
        <v>-142.37788959969146</v>
      </c>
      <c r="D12" s="26" t="s">
        <v>168</v>
      </c>
      <c r="E12" s="26" t="s">
        <v>169</v>
      </c>
    </row>
    <row r="13" spans="1:9" ht="16.95" customHeight="1">
      <c r="A13" s="26" t="s">
        <v>146</v>
      </c>
      <c r="B13" s="34">
        <f>SUMPRODUCT(D4:D6,C4:C6)-D7*(F7/B7)</f>
        <v>-8.9661061676351892</v>
      </c>
      <c r="D13" s="26" t="s">
        <v>170</v>
      </c>
      <c r="E13" s="26" t="s">
        <v>171</v>
      </c>
    </row>
    <row r="14" spans="1:9" ht="16.95" customHeight="1">
      <c r="A14" s="26" t="s">
        <v>147</v>
      </c>
      <c r="B14" s="34">
        <f>B10+B11+B12+B13</f>
        <v>7957.432032499999</v>
      </c>
      <c r="D14" s="26" t="s">
        <v>172</v>
      </c>
      <c r="E14" s="26" t="s">
        <v>173</v>
      </c>
    </row>
    <row r="15" spans="1:9" ht="16.95" customHeight="1">
      <c r="A15" s="26" t="s">
        <v>148</v>
      </c>
      <c r="B15" s="34">
        <f>B14-G7</f>
        <v>0</v>
      </c>
    </row>
    <row r="17" spans="1:2" ht="24" customHeight="1">
      <c r="A17" s="13" t="s">
        <v>158</v>
      </c>
      <c r="B17" s="54"/>
    </row>
    <row r="18" spans="1:2" ht="16.95" customHeight="1">
      <c r="A18" s="26" t="s">
        <v>159</v>
      </c>
      <c r="B18" s="26">
        <f>'Budget &amp; Reforecast'!B10</f>
        <v>2336.7269655974997</v>
      </c>
    </row>
    <row r="19" spans="1:2" ht="16.95" customHeight="1">
      <c r="A19" s="26" t="s">
        <v>160</v>
      </c>
      <c r="B19" s="26">
        <f>('Budget &amp; Reforecast'!C4-'Budget &amp; Reforecast'!B4)*'Budget &amp; Reforecast'!B11</f>
        <v>-21.114244140000203</v>
      </c>
    </row>
    <row r="20" spans="1:2" ht="16.95" customHeight="1">
      <c r="A20" s="26" t="s">
        <v>161</v>
      </c>
      <c r="B20" s="26">
        <f>-('Budget &amp; Reforecast'!C7-'Budget &amp; Reforecast'!B7)*'Budget &amp; Reforecast'!C4</f>
        <v>-39.787160162500022</v>
      </c>
    </row>
    <row r="21" spans="1:2" ht="16.95" customHeight="1">
      <c r="A21" s="26" t="s">
        <v>162</v>
      </c>
      <c r="B21" s="26">
        <f>-('Budget &amp; Reforecast'!C9-'Budget &amp; Reforecast'!B9)*'Budget &amp; Reforecast'!C4</f>
        <v>-23.872296097500016</v>
      </c>
    </row>
    <row r="22" spans="1:2" ht="16.95" customHeight="1">
      <c r="A22" s="26" t="s">
        <v>163</v>
      </c>
      <c r="B22" s="26">
        <f>SUM(B18:B21)</f>
        <v>2251.9532651974991</v>
      </c>
    </row>
    <row r="23" spans="1:2" ht="16.95" customHeight="1">
      <c r="A23" s="26" t="s">
        <v>164</v>
      </c>
      <c r="B23" s="26">
        <f>B22-'Budget &amp; Reforecast'!C10</f>
        <v>0</v>
      </c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54B5-822A-48BF-A72D-1958E99CB5AF}">
  <dimension ref="A1:K61"/>
  <sheetViews>
    <sheetView showGridLines="0" zoomScale="94" workbookViewId="0">
      <selection activeCell="E8" sqref="E8"/>
    </sheetView>
  </sheetViews>
  <sheetFormatPr defaultRowHeight="14.4"/>
  <cols>
    <col min="1" max="1" width="41.6640625" bestFit="1" customWidth="1"/>
    <col min="2" max="5" width="12.77734375" bestFit="1" customWidth="1"/>
    <col min="6" max="6" width="9" bestFit="1" customWidth="1"/>
    <col min="7" max="7" width="7.88671875" bestFit="1" customWidth="1"/>
    <col min="8" max="11" width="12.77734375" bestFit="1" customWidth="1"/>
  </cols>
  <sheetData>
    <row r="1" spans="1:11" ht="36" customHeight="1">
      <c r="A1" s="62" t="s">
        <v>235</v>
      </c>
      <c r="B1" s="62"/>
      <c r="C1" s="62"/>
      <c r="D1" s="62"/>
      <c r="E1" s="62"/>
      <c r="F1" s="62"/>
      <c r="G1" s="62"/>
      <c r="H1" s="62"/>
      <c r="I1" s="62"/>
      <c r="J1" s="62"/>
      <c r="K1" s="44"/>
    </row>
    <row r="2" spans="1:11">
      <c r="K2" s="9"/>
    </row>
    <row r="3" spans="1:11">
      <c r="A3" s="53"/>
      <c r="B3" s="12">
        <v>1</v>
      </c>
      <c r="C3" s="12">
        <v>2</v>
      </c>
      <c r="D3" s="12">
        <v>3</v>
      </c>
    </row>
    <row r="4" spans="1:11" ht="24" customHeight="1">
      <c r="A4" s="13" t="s">
        <v>174</v>
      </c>
      <c r="B4" s="12" t="s">
        <v>184</v>
      </c>
      <c r="C4" s="12" t="s">
        <v>185</v>
      </c>
      <c r="D4" s="13" t="s">
        <v>224</v>
      </c>
      <c r="G4" s="3"/>
    </row>
    <row r="5" spans="1:11" ht="16.95" customHeight="1">
      <c r="A5" s="26" t="s">
        <v>176</v>
      </c>
      <c r="B5" s="38">
        <v>0.02</v>
      </c>
      <c r="C5" s="38">
        <v>0</v>
      </c>
      <c r="D5" s="38">
        <v>-0.02</v>
      </c>
      <c r="G5" s="8"/>
    </row>
    <row r="6" spans="1:11" ht="16.95" customHeight="1">
      <c r="A6" s="26" t="s">
        <v>177</v>
      </c>
      <c r="B6" s="38">
        <v>-5.0000000000000001E-3</v>
      </c>
      <c r="C6" s="38">
        <v>0</v>
      </c>
      <c r="D6" s="38">
        <v>5.0000000000000001E-3</v>
      </c>
    </row>
    <row r="7" spans="1:11" ht="16.95" customHeight="1">
      <c r="A7" s="26" t="s">
        <v>178</v>
      </c>
      <c r="B7" s="38">
        <v>-3.0000000000000001E-3</v>
      </c>
      <c r="C7" s="38">
        <v>0</v>
      </c>
      <c r="D7" s="38">
        <v>3.0000000000000001E-3</v>
      </c>
    </row>
    <row r="8" spans="1:11" ht="16.95" customHeight="1">
      <c r="A8" s="26" t="s">
        <v>101</v>
      </c>
      <c r="B8" s="38">
        <v>0.255</v>
      </c>
      <c r="C8" s="38">
        <v>0.255</v>
      </c>
      <c r="D8" s="38">
        <v>0.255</v>
      </c>
    </row>
    <row r="9" spans="1:11">
      <c r="K9" s="9"/>
    </row>
    <row r="10" spans="1:11" ht="24" customHeight="1">
      <c r="A10" s="13" t="s">
        <v>182</v>
      </c>
      <c r="B10" s="12">
        <v>3</v>
      </c>
      <c r="K10" s="5"/>
    </row>
    <row r="11" spans="1:11">
      <c r="B11" s="7"/>
      <c r="C11" s="7"/>
      <c r="D11" s="7"/>
      <c r="E11" s="7"/>
    </row>
    <row r="12" spans="1:11" ht="24" customHeight="1">
      <c r="A12" s="13" t="s">
        <v>183</v>
      </c>
      <c r="B12" s="12" t="s">
        <v>5</v>
      </c>
      <c r="C12" s="12" t="s">
        <v>6</v>
      </c>
      <c r="D12" s="12" t="s">
        <v>7</v>
      </c>
      <c r="E12" s="12" t="s">
        <v>8</v>
      </c>
      <c r="G12" s="13" t="s">
        <v>180</v>
      </c>
      <c r="H12" s="12" t="str">
        <f>B12</f>
        <v>FY2027E</v>
      </c>
      <c r="I12" s="12" t="str">
        <f t="shared" ref="I12:K12" si="0">C12</f>
        <v>FY2028E</v>
      </c>
      <c r="J12" s="13" t="str">
        <f t="shared" si="0"/>
        <v>FY2029E</v>
      </c>
      <c r="K12" s="12" t="str">
        <f t="shared" si="0"/>
        <v>FY2030E</v>
      </c>
    </row>
    <row r="13" spans="1:11" ht="16.95" customHeight="1">
      <c r="A13" s="26" t="s">
        <v>47</v>
      </c>
      <c r="B13" s="34">
        <f>CHOOSE($B$10,H13,H17,H21)</f>
        <v>7798.2833918499982</v>
      </c>
      <c r="C13" s="34">
        <f t="shared" ref="C13:E13" si="1">CHOOSE($B$10,I13,I17,I21)</f>
        <v>8305.1718123202463</v>
      </c>
      <c r="D13" s="34">
        <f t="shared" si="1"/>
        <v>8828.3976364964219</v>
      </c>
      <c r="E13" s="34">
        <f t="shared" si="1"/>
        <v>9358.1014946862088</v>
      </c>
      <c r="G13" s="26" t="s">
        <v>47</v>
      </c>
      <c r="H13" s="26">
        <f>H17*(1+$B$5)</f>
        <v>8116.5806731499979</v>
      </c>
      <c r="I13" s="26">
        <f t="shared" ref="I13:K13" si="2">I17*(1+$B$5)</f>
        <v>8644.1584169047474</v>
      </c>
      <c r="J13" s="26">
        <f t="shared" si="2"/>
        <v>9188.7403971697458</v>
      </c>
      <c r="K13" s="26">
        <f t="shared" si="2"/>
        <v>9740.0648209999308</v>
      </c>
    </row>
    <row r="14" spans="1:11" ht="16.95" customHeight="1">
      <c r="A14" s="26" t="s">
        <v>133</v>
      </c>
      <c r="B14" s="38">
        <f>CHOOSE($B$10,H14,H18,H22)</f>
        <v>0.56900000000000006</v>
      </c>
      <c r="C14" s="38">
        <f t="shared" ref="C14:E14" si="3">CHOOSE($B$10,I14,I18,I22)</f>
        <v>0.56700000000000006</v>
      </c>
      <c r="D14" s="38">
        <f t="shared" si="3"/>
        <v>0.56500000000000006</v>
      </c>
      <c r="E14" s="38">
        <f t="shared" si="3"/>
        <v>0.56300000000000006</v>
      </c>
      <c r="G14" s="26" t="s">
        <v>133</v>
      </c>
      <c r="H14" s="40">
        <f>H18-0.5%</f>
        <v>0.55900000000000005</v>
      </c>
      <c r="I14" s="40">
        <f t="shared" ref="I14:K14" si="4">I18-0.5%</f>
        <v>0.55700000000000005</v>
      </c>
      <c r="J14" s="40">
        <f t="shared" si="4"/>
        <v>0.55500000000000005</v>
      </c>
      <c r="K14" s="40">
        <f t="shared" si="4"/>
        <v>0.55300000000000005</v>
      </c>
    </row>
    <row r="15" spans="1:11" ht="16.95" customHeight="1">
      <c r="A15" s="26" t="s">
        <v>132</v>
      </c>
      <c r="B15" s="38">
        <f>CHOOSE($B$10,H15,H19,H23)</f>
        <v>0.156</v>
      </c>
      <c r="C15" s="38">
        <f t="shared" ref="C15:E15" si="5">CHOOSE($B$10,I15,I19,I23)</f>
        <v>0.155</v>
      </c>
      <c r="D15" s="38">
        <f t="shared" si="5"/>
        <v>0.154</v>
      </c>
      <c r="E15" s="38">
        <f t="shared" si="5"/>
        <v>0.153</v>
      </c>
      <c r="G15" s="26" t="s">
        <v>179</v>
      </c>
      <c r="H15" s="38">
        <f>H19-0.3%</f>
        <v>0.15</v>
      </c>
      <c r="I15" s="38">
        <f t="shared" ref="I15:K15" si="6">I19-0.3%</f>
        <v>0.14899999999999999</v>
      </c>
      <c r="J15" s="38">
        <f t="shared" si="6"/>
        <v>0.14799999999999999</v>
      </c>
      <c r="K15" s="38">
        <f t="shared" si="6"/>
        <v>0.14699999999999999</v>
      </c>
    </row>
    <row r="16" spans="1:11" ht="16.95" customHeight="1">
      <c r="A16" s="26" t="s">
        <v>72</v>
      </c>
      <c r="B16" s="26">
        <f>B13*B14</f>
        <v>4437.2232499626498</v>
      </c>
      <c r="C16" s="26">
        <f t="shared" ref="C16:E16" si="7">C13*C14</f>
        <v>4709.0324175855803</v>
      </c>
      <c r="D16" s="26">
        <f t="shared" si="7"/>
        <v>4988.0446646204791</v>
      </c>
      <c r="E16" s="26">
        <f t="shared" si="7"/>
        <v>5268.611141508336</v>
      </c>
      <c r="G16" s="13" t="s">
        <v>175</v>
      </c>
      <c r="H16" s="12"/>
      <c r="I16" s="12"/>
      <c r="J16" s="13"/>
      <c r="K16" s="12"/>
    </row>
    <row r="17" spans="1:11" ht="16.95" customHeight="1">
      <c r="A17" s="26" t="s">
        <v>9</v>
      </c>
      <c r="B17" s="26">
        <f>B13-B16</f>
        <v>3361.0601418873484</v>
      </c>
      <c r="C17" s="26">
        <f t="shared" ref="C17:E17" si="8">C13-C16</f>
        <v>3596.139394734666</v>
      </c>
      <c r="D17" s="26">
        <f t="shared" si="8"/>
        <v>3840.3529718759428</v>
      </c>
      <c r="E17" s="26">
        <f t="shared" si="8"/>
        <v>4089.4903531778727</v>
      </c>
      <c r="G17" s="26" t="s">
        <v>47</v>
      </c>
      <c r="H17" s="45">
        <f>'Budget &amp; Reforecast'!C4</f>
        <v>7957.4320324999981</v>
      </c>
      <c r="I17" s="45">
        <f>'Budget &amp; Reforecast'!D4</f>
        <v>8474.6651146124968</v>
      </c>
      <c r="J17" s="45">
        <f>'Budget &amp; Reforecast'!E4</f>
        <v>9008.5690168330839</v>
      </c>
      <c r="K17" s="45">
        <f>'Budget &amp; Reforecast'!F4</f>
        <v>9549.0831578430698</v>
      </c>
    </row>
    <row r="18" spans="1:11" ht="16.95" customHeight="1">
      <c r="A18" s="26" t="s">
        <v>11</v>
      </c>
      <c r="B18" s="26">
        <f>B13*B15</f>
        <v>1216.5322091285998</v>
      </c>
      <c r="C18" s="26">
        <f t="shared" ref="C18:E18" si="9">C13*C15</f>
        <v>1287.3016309096381</v>
      </c>
      <c r="D18" s="26">
        <f t="shared" si="9"/>
        <v>1359.573236020449</v>
      </c>
      <c r="E18" s="26">
        <f t="shared" si="9"/>
        <v>1431.78952868699</v>
      </c>
      <c r="G18" s="26" t="s">
        <v>133</v>
      </c>
      <c r="H18" s="38">
        <f>'Budget &amp; Reforecast'!C7</f>
        <v>0.56400000000000006</v>
      </c>
      <c r="I18" s="38">
        <f>'Budget &amp; Reforecast'!D7</f>
        <v>0.56200000000000006</v>
      </c>
      <c r="J18" s="38">
        <f>'Budget &amp; Reforecast'!E7</f>
        <v>0.56000000000000005</v>
      </c>
      <c r="K18" s="38">
        <f>'Budget &amp; Reforecast'!F7</f>
        <v>0.55800000000000005</v>
      </c>
    </row>
    <row r="19" spans="1:11" ht="16.95" customHeight="1">
      <c r="A19" s="26" t="s">
        <v>13</v>
      </c>
      <c r="B19" s="26">
        <f>B17-B18</f>
        <v>2144.5279327587486</v>
      </c>
      <c r="C19" s="26">
        <f t="shared" ref="C19:E19" si="10">C17-C18</f>
        <v>2308.8377638250277</v>
      </c>
      <c r="D19" s="26">
        <f t="shared" si="10"/>
        <v>2480.7797358554935</v>
      </c>
      <c r="E19" s="26">
        <f t="shared" si="10"/>
        <v>2657.700824490883</v>
      </c>
      <c r="G19" s="26" t="s">
        <v>179</v>
      </c>
      <c r="H19" s="38">
        <f>'Budget &amp; Reforecast'!C9</f>
        <v>0.153</v>
      </c>
      <c r="I19" s="38">
        <f>'Budget &amp; Reforecast'!D9</f>
        <v>0.152</v>
      </c>
      <c r="J19" s="38">
        <f>'Budget &amp; Reforecast'!E9</f>
        <v>0.151</v>
      </c>
      <c r="K19" s="38">
        <f>'Budget &amp; Reforecast'!F9</f>
        <v>0.15</v>
      </c>
    </row>
    <row r="20" spans="1:11" ht="16.95" customHeight="1">
      <c r="A20" s="26" t="s">
        <v>14</v>
      </c>
      <c r="B20" s="38">
        <f>B19/B13</f>
        <v>0.27499999999999991</v>
      </c>
      <c r="C20" s="38">
        <f t="shared" ref="C20:E20" si="11">C19/C13</f>
        <v>0.27799999999999991</v>
      </c>
      <c r="D20" s="38">
        <f t="shared" si="11"/>
        <v>0.28099999999999986</v>
      </c>
      <c r="E20" s="38">
        <f t="shared" si="11"/>
        <v>0.28399999999999997</v>
      </c>
      <c r="G20" s="13" t="s">
        <v>181</v>
      </c>
      <c r="H20" s="12"/>
      <c r="I20" s="12"/>
      <c r="J20" s="13"/>
      <c r="K20" s="12"/>
    </row>
    <row r="21" spans="1:11" ht="16.95" customHeight="1">
      <c r="A21" s="26" t="s">
        <v>15</v>
      </c>
      <c r="B21" s="26">
        <f>B19-('Budget &amp; Reforecast'!C10-'Budget &amp; Reforecast'!C12)</f>
        <v>1655.0504525681556</v>
      </c>
      <c r="C21" s="26">
        <f>C19-('Budget &amp; Reforecast'!D10-'Budget &amp; Reforecast'!D12)</f>
        <v>1791.8831918336655</v>
      </c>
      <c r="D21" s="26">
        <f>D19-('Budget &amp; Reforecast'!E10-'Budget &amp; Reforecast'!E12)</f>
        <v>1931.2570258286755</v>
      </c>
      <c r="E21" s="26">
        <f>E19-('Budget &amp; Reforecast'!F10-'Budget &amp; Reforecast'!F12)</f>
        <v>2075.2067518624558</v>
      </c>
      <c r="G21" s="26" t="str">
        <f>G17</f>
        <v>Revenue</v>
      </c>
      <c r="H21" s="26">
        <f>H17*(1+$D$5)</f>
        <v>7798.2833918499982</v>
      </c>
      <c r="I21" s="26">
        <f t="shared" ref="I21:K21" si="12">I17*(1+$D$5)</f>
        <v>8305.1718123202463</v>
      </c>
      <c r="J21" s="26">
        <f t="shared" si="12"/>
        <v>8828.3976364964219</v>
      </c>
      <c r="K21" s="26">
        <f t="shared" si="12"/>
        <v>9358.1014946862088</v>
      </c>
    </row>
    <row r="22" spans="1:11" ht="16.95" customHeight="1">
      <c r="A22" s="26" t="s">
        <v>98</v>
      </c>
      <c r="B22" s="26">
        <f>'Budget &amp; Reforecast'!C13+('Scenario &amp; Sensitivity '!B21-'Budget &amp; Reforecast'!C12)*(1-'Scenario &amp; Sensitivity '!$B$8)</f>
        <v>1089.0629421632759</v>
      </c>
      <c r="C22" s="26">
        <f>'Budget &amp; Reforecast'!D13+('Scenario &amp; Sensitivity '!C21-'Budget &amp; Reforecast'!D12)*(1-'Scenario &amp; Sensitivity '!$B$8)</f>
        <v>1183.8058506660807</v>
      </c>
      <c r="D22" s="26">
        <f>'Budget &amp; Reforecast'!E13+('Scenario &amp; Sensitivity '!D21-'Budget &amp; Reforecast'!E12)*(1-'Scenario &amp; Sensitivity '!$B$8)</f>
        <v>1280.0820006298632</v>
      </c>
      <c r="E22" s="26">
        <f>'Budget &amp; Reforecast'!F13+('Scenario &amp; Sensitivity '!E21-'Budget &amp; Reforecast'!F12)*(1-'Scenario &amp; Sensitivity '!$B$8)</f>
        <v>1379.3893223444045</v>
      </c>
      <c r="G22" s="26" t="str">
        <f t="shared" ref="G22:G23" si="13">G18</f>
        <v>COGS %</v>
      </c>
      <c r="H22" s="38">
        <f>H18+$D$6</f>
        <v>0.56900000000000006</v>
      </c>
      <c r="I22" s="38">
        <f t="shared" ref="I22:K22" si="14">I18+$D$6</f>
        <v>0.56700000000000006</v>
      </c>
      <c r="J22" s="38">
        <f t="shared" si="14"/>
        <v>0.56500000000000006</v>
      </c>
      <c r="K22" s="38">
        <f t="shared" si="14"/>
        <v>0.56300000000000006</v>
      </c>
    </row>
    <row r="23" spans="1:11" ht="16.95" customHeight="1">
      <c r="A23" s="26" t="s">
        <v>222</v>
      </c>
      <c r="B23" s="33">
        <f>B22/B13</f>
        <v>0.13965418893361298</v>
      </c>
      <c r="C23" s="33">
        <f t="shared" ref="C23:E23" si="15">C22/C13</f>
        <v>0.14253839383671421</v>
      </c>
      <c r="D23" s="33">
        <f t="shared" si="15"/>
        <v>0.14499596113999549</v>
      </c>
      <c r="E23" s="33">
        <f t="shared" si="15"/>
        <v>0.14740055161056548</v>
      </c>
      <c r="G23" s="26" t="str">
        <f t="shared" si="13"/>
        <v>SG&amp;A %</v>
      </c>
      <c r="H23" s="38">
        <f>H19+$D$7</f>
        <v>0.156</v>
      </c>
      <c r="I23" s="38">
        <f t="shared" ref="I23:K23" si="16">I19+$D$7</f>
        <v>0.155</v>
      </c>
      <c r="J23" s="38">
        <f t="shared" si="16"/>
        <v>0.154</v>
      </c>
      <c r="K23" s="38">
        <f t="shared" si="16"/>
        <v>0.153</v>
      </c>
    </row>
    <row r="24" spans="1:11">
      <c r="B24" s="5"/>
      <c r="C24" s="5"/>
      <c r="D24" s="5"/>
      <c r="E24" s="5"/>
    </row>
    <row r="25" spans="1:11">
      <c r="B25" s="5"/>
      <c r="C25" s="5"/>
      <c r="D25" s="5"/>
      <c r="E25" s="5"/>
    </row>
    <row r="26" spans="1:11" ht="24" customHeight="1">
      <c r="A26" s="13" t="s">
        <v>186</v>
      </c>
      <c r="B26" s="12"/>
      <c r="C26" s="12"/>
      <c r="D26" s="13"/>
      <c r="E26" s="12"/>
      <c r="F26" s="12"/>
    </row>
    <row r="27" spans="1:11" ht="16.95" customHeight="1">
      <c r="A27" s="37" t="s">
        <v>187</v>
      </c>
      <c r="B27" s="38">
        <v>-0.01</v>
      </c>
      <c r="C27" s="38">
        <v>-5.0000000000000001E-3</v>
      </c>
      <c r="D27" s="38">
        <v>0</v>
      </c>
      <c r="E27" s="38">
        <v>5.0000000000000001E-3</v>
      </c>
      <c r="F27" s="38">
        <v>0.01</v>
      </c>
    </row>
    <row r="28" spans="1:11" ht="16.95" customHeight="1">
      <c r="A28" s="59">
        <v>-0.04</v>
      </c>
      <c r="B28" s="34">
        <f>'Budget &amp; Reforecast'!$C$4*(1+$A28)*(1-'Budget &amp; Reforecast'!$C$7-B$27-'Budget &amp; Reforecast'!$C$9)</f>
        <v>2238.2664821015987</v>
      </c>
      <c r="C28" s="34">
        <f>'Budget &amp; Reforecast'!$C$4*(1+$A28)*(1-'Budget &amp; Reforecast'!$C$7-C$27-'Budget &amp; Reforecast'!$C$9)</f>
        <v>2200.0708083455988</v>
      </c>
      <c r="D28" s="34">
        <f>'Budget &amp; Reforecast'!$C$4*(1+$A28)*(1-'Budget &amp; Reforecast'!$C$7-D$27-'Budget &amp; Reforecast'!$C$9)</f>
        <v>2161.8751345895985</v>
      </c>
      <c r="E28" s="34">
        <f>'Budget &amp; Reforecast'!$C$4*(1+$A28)*(1-'Budget &amp; Reforecast'!$C$7-E$27-'Budget &amp; Reforecast'!$C$9)</f>
        <v>2123.6794608335986</v>
      </c>
      <c r="F28" s="34">
        <f>'Budget &amp; Reforecast'!$C$4*(1+$A28)*(1-'Budget &amp; Reforecast'!$C$7-F$27-'Budget &amp; Reforecast'!$C$9)</f>
        <v>2085.4837870775987</v>
      </c>
    </row>
    <row r="29" spans="1:11" ht="16.95" customHeight="1">
      <c r="A29" s="59">
        <v>-0.02</v>
      </c>
      <c r="B29" s="34">
        <f>'Budget &amp; Reforecast'!$C$4*(1+$A29)*(1-'Budget &amp; Reforecast'!$C$7-B$27-'Budget &amp; Reforecast'!$C$9)</f>
        <v>2284.8970338120489</v>
      </c>
      <c r="C29" s="34">
        <f>'Budget &amp; Reforecast'!$C$4*(1+$A29)*(1-'Budget &amp; Reforecast'!$C$7-C$27-'Budget &amp; Reforecast'!$C$9)</f>
        <v>2245.9056168527991</v>
      </c>
      <c r="D29" s="34">
        <f>'Budget &amp; Reforecast'!$C$4*(1+$A29)*(1-'Budget &amp; Reforecast'!$C$7-D$27-'Budget &amp; Reforecast'!$C$9)</f>
        <v>2206.9141998935488</v>
      </c>
      <c r="E29" s="34">
        <f>'Budget &amp; Reforecast'!$C$4*(1+$A29)*(1-'Budget &amp; Reforecast'!$C$7-E$27-'Budget &amp; Reforecast'!$C$9)</f>
        <v>2167.922782934299</v>
      </c>
      <c r="F29" s="34">
        <f>'Budget &amp; Reforecast'!$C$4*(1+$A29)*(1-'Budget &amp; Reforecast'!$C$7-F$27-'Budget &amp; Reforecast'!$C$9)</f>
        <v>2128.9313659750487</v>
      </c>
    </row>
    <row r="30" spans="1:11" ht="16.95" customHeight="1">
      <c r="A30" s="59">
        <v>0</v>
      </c>
      <c r="B30" s="34">
        <f>'Budget &amp; Reforecast'!$C$4*(1+$A30)*(1-'Budget &amp; Reforecast'!$C$7-B$27-'Budget &amp; Reforecast'!$C$9)</f>
        <v>2331.5275855224991</v>
      </c>
      <c r="C30" s="34">
        <f>'Budget &amp; Reforecast'!$C$4*(1+$A30)*(1-'Budget &amp; Reforecast'!$C$7-C$27-'Budget &amp; Reforecast'!$C$9)</f>
        <v>2291.7404253599989</v>
      </c>
      <c r="D30" s="34">
        <f>'Budget &amp; Reforecast'!$C$4*(1+$A30)*(1-'Budget &amp; Reforecast'!$C$7-D$27-'Budget &amp; Reforecast'!$C$9)</f>
        <v>2251.9532651974987</v>
      </c>
      <c r="E30" s="34">
        <f>'Budget &amp; Reforecast'!$C$4*(1+$A30)*(1-'Budget &amp; Reforecast'!$C$7-E$27-'Budget &amp; Reforecast'!$C$9)</f>
        <v>2212.166105034999</v>
      </c>
      <c r="F30" s="34">
        <f>'Budget &amp; Reforecast'!$C$4*(1+$A30)*(1-'Budget &amp; Reforecast'!$C$7-F$27-'Budget &amp; Reforecast'!$C$9)</f>
        <v>2172.3789448724988</v>
      </c>
    </row>
    <row r="31" spans="1:11" ht="16.95" customHeight="1">
      <c r="A31" s="59">
        <v>0.02</v>
      </c>
      <c r="B31" s="34">
        <f>'Budget &amp; Reforecast'!$C$4*(1+$A31)*(1-'Budget &amp; Reforecast'!$C$7-B$27-'Budget &amp; Reforecast'!$C$9)</f>
        <v>2378.1581372329488</v>
      </c>
      <c r="C31" s="34">
        <f>'Budget &amp; Reforecast'!$C$4*(1+$A31)*(1-'Budget &amp; Reforecast'!$C$7-C$27-'Budget &amp; Reforecast'!$C$9)</f>
        <v>2337.5752338671987</v>
      </c>
      <c r="D31" s="34">
        <f>'Budget &amp; Reforecast'!$C$4*(1+$A31)*(1-'Budget &amp; Reforecast'!$C$7-D$27-'Budget &amp; Reforecast'!$C$9)</f>
        <v>2296.9923305014486</v>
      </c>
      <c r="E31" s="34">
        <f>'Budget &amp; Reforecast'!$C$4*(1+$A31)*(1-'Budget &amp; Reforecast'!$C$7-E$27-'Budget &amp; Reforecast'!$C$9)</f>
        <v>2256.4094271356989</v>
      </c>
      <c r="F31" s="34">
        <f>'Budget &amp; Reforecast'!$C$4*(1+$A31)*(1-'Budget &amp; Reforecast'!$C$7-F$27-'Budget &amp; Reforecast'!$C$9)</f>
        <v>2215.8265237699488</v>
      </c>
      <c r="H31" s="56"/>
      <c r="I31" s="57"/>
      <c r="J31" s="57"/>
    </row>
    <row r="32" spans="1:11" ht="16.95" customHeight="1">
      <c r="A32" s="59">
        <v>0.04</v>
      </c>
      <c r="B32" s="34">
        <f>'Budget &amp; Reforecast'!$C$4*(1+$A32)*(1-'Budget &amp; Reforecast'!$C$7-B$27-'Budget &amp; Reforecast'!$C$9)</f>
        <v>2424.7886889433989</v>
      </c>
      <c r="C32" s="34">
        <f>'Budget &amp; Reforecast'!$C$4*(1+$A32)*(1-'Budget &amp; Reforecast'!$C$7-C$27-'Budget &amp; Reforecast'!$C$9)</f>
        <v>2383.4100423743989</v>
      </c>
      <c r="D32" s="34">
        <f>'Budget &amp; Reforecast'!$C$4*(1+$A32)*(1-'Budget &amp; Reforecast'!$C$7-D$27-'Budget &amp; Reforecast'!$C$9)</f>
        <v>2342.0313958053989</v>
      </c>
      <c r="E32" s="34">
        <f>'Budget &amp; Reforecast'!$C$4*(1+$A32)*(1-'Budget &amp; Reforecast'!$C$7-E$27-'Budget &amp; Reforecast'!$C$9)</f>
        <v>2300.6527492363989</v>
      </c>
      <c r="F32" s="34">
        <f>'Budget &amp; Reforecast'!$C$4*(1+$A32)*(1-'Budget &amp; Reforecast'!$C$7-F$27-'Budget &amp; Reforecast'!$C$9)</f>
        <v>2259.2741026673989</v>
      </c>
    </row>
    <row r="33" spans="1:6">
      <c r="B33" s="5"/>
      <c r="C33" s="5"/>
      <c r="D33" s="5"/>
      <c r="E33" s="5"/>
    </row>
    <row r="34" spans="1:6">
      <c r="A34" s="13" t="s">
        <v>188</v>
      </c>
      <c r="B34" s="12"/>
      <c r="C34" s="12"/>
      <c r="D34" s="13"/>
      <c r="E34" s="12"/>
      <c r="F34" s="12"/>
    </row>
    <row r="35" spans="1:6" ht="16.95" customHeight="1">
      <c r="A35" s="60" t="s">
        <v>189</v>
      </c>
      <c r="B35" s="38">
        <v>-0.01</v>
      </c>
      <c r="C35" s="38">
        <v>-5.0000000000000001E-3</v>
      </c>
      <c r="D35" s="38">
        <v>0</v>
      </c>
      <c r="E35" s="38">
        <v>5.0000000000000001E-3</v>
      </c>
      <c r="F35" s="38">
        <v>0.01</v>
      </c>
    </row>
    <row r="36" spans="1:6" ht="16.95" customHeight="1">
      <c r="A36" s="59">
        <v>-0.04</v>
      </c>
      <c r="B36" s="34">
        <f>'Budget &amp; Reforecast'!$C$13+('Budget &amp; Reforecast'!$C$4*(1+$A36)*(1-'Budget &amp; Reforecast'!$C$7-'Budget &amp; Reforecast'!$C$9-B$35)-'Budget &amp; Reforecast'!$C$10)*(1-25.5%)</f>
        <v>1158.8981614236993</v>
      </c>
      <c r="C36" s="34">
        <f>'Budget &amp; Reforecast'!$C$13+('Budget &amp; Reforecast'!$C$4*(1+$A36)*(1-'Budget &amp; Reforecast'!$C$7-'Budget &amp; Reforecast'!$C$9-C$35)-'Budget &amp; Reforecast'!$C$10)*(1-25.5%)</f>
        <v>1130.4423844754792</v>
      </c>
      <c r="D36" s="34">
        <f>'Budget &amp; Reforecast'!$C$13+('Budget &amp; Reforecast'!$C$4*(1+$A36)*(1-'Budget &amp; Reforecast'!$C$7-'Budget &amp; Reforecast'!$C$9-D$35)-'Budget &amp; Reforecast'!$C$10)*(1-25.5%)</f>
        <v>1101.9866075272591</v>
      </c>
      <c r="E36" s="34">
        <f>'Budget &amp; Reforecast'!$C$13+('Budget &amp; Reforecast'!$C$4*(1+$A36)*(1-'Budget &amp; Reforecast'!$C$7-'Budget &amp; Reforecast'!$C$9-E$35)-'Budget &amp; Reforecast'!$C$10)*(1-25.5%)</f>
        <v>1073.530830579039</v>
      </c>
      <c r="F36" s="34">
        <f>'Budget &amp; Reforecast'!$C$13+('Budget &amp; Reforecast'!$C$4*(1+$A36)*(1-'Budget &amp; Reforecast'!$C$7-'Budget &amp; Reforecast'!$C$9-F$35)-'Budget &amp; Reforecast'!$C$10)*(1-25.5%)</f>
        <v>1045.0750536308192</v>
      </c>
    </row>
    <row r="37" spans="1:6" ht="16.95" customHeight="1">
      <c r="A37" s="59">
        <v>-0.02</v>
      </c>
      <c r="B37" s="34">
        <f>'Budget &amp; Reforecast'!$C$13+('Budget &amp; Reforecast'!$C$4*(1+$A37)*(1-'Budget &amp; Reforecast'!$C$7-'Budget &amp; Reforecast'!$C$9-B$35)-'Budget &amp; Reforecast'!$C$10)*(1-25.5%)</f>
        <v>1193.6379224479847</v>
      </c>
      <c r="C37" s="34">
        <f>'Budget &amp; Reforecast'!$C$13+('Budget &amp; Reforecast'!$C$4*(1+$A37)*(1-'Budget &amp; Reforecast'!$C$7-'Budget &amp; Reforecast'!$C$9-C$35)-'Budget &amp; Reforecast'!$C$10)*(1-25.5%)</f>
        <v>1164.5893168133434</v>
      </c>
      <c r="D37" s="34">
        <f>'Budget &amp; Reforecast'!$C$13+('Budget &amp; Reforecast'!$C$4*(1+$A37)*(1-'Budget &amp; Reforecast'!$C$7-'Budget &amp; Reforecast'!$C$9-D$35)-'Budget &amp; Reforecast'!$C$10)*(1-25.5%)</f>
        <v>1135.5407111787022</v>
      </c>
      <c r="E37" s="34">
        <f>'Budget &amp; Reforecast'!$C$13+('Budget &amp; Reforecast'!$C$4*(1+$A37)*(1-'Budget &amp; Reforecast'!$C$7-'Budget &amp; Reforecast'!$C$9-E$35)-'Budget &amp; Reforecast'!$C$10)*(1-25.5%)</f>
        <v>1106.4921055440609</v>
      </c>
      <c r="F37" s="34">
        <f>'Budget &amp; Reforecast'!$C$13+('Budget &amp; Reforecast'!$C$4*(1+$A37)*(1-'Budget &amp; Reforecast'!$C$7-'Budget &amp; Reforecast'!$C$9-F$35)-'Budget &amp; Reforecast'!$C$10)*(1-25.5%)</f>
        <v>1077.4434999094194</v>
      </c>
    </row>
    <row r="38" spans="1:6" ht="16.95" customHeight="1">
      <c r="A38" s="59">
        <v>0</v>
      </c>
      <c r="B38" s="34">
        <f>'Budget &amp; Reforecast'!$C$13+('Budget &amp; Reforecast'!$C$4*(1+$A38)*(1-'Budget &amp; Reforecast'!$C$7-'Budget &amp; Reforecast'!$C$9-B$35)-'Budget &amp; Reforecast'!$C$10)*(1-25.5%)</f>
        <v>1228.3776834722701</v>
      </c>
      <c r="C38" s="34">
        <f>'Budget &amp; Reforecast'!$C$13+('Budget &amp; Reforecast'!$C$4*(1+$A38)*(1-'Budget &amp; Reforecast'!$C$7-'Budget &amp; Reforecast'!$C$9-C$35)-'Budget &amp; Reforecast'!$C$10)*(1-25.5%)</f>
        <v>1198.7362491512074</v>
      </c>
      <c r="D38" s="34">
        <f>'Budget &amp; Reforecast'!$C$13+('Budget &amp; Reforecast'!$C$4*(1+$A38)*(1-'Budget &amp; Reforecast'!$C$7-'Budget &amp; Reforecast'!$C$9-D$35)-'Budget &amp; Reforecast'!$C$10)*(1-25.5%)</f>
        <v>1169.0948148301447</v>
      </c>
      <c r="E38" s="34">
        <f>'Budget &amp; Reforecast'!$C$13+('Budget &amp; Reforecast'!$C$4*(1+$A38)*(1-'Budget &amp; Reforecast'!$C$7-'Budget &amp; Reforecast'!$C$9-E$35)-'Budget &amp; Reforecast'!$C$10)*(1-25.5%)</f>
        <v>1139.4533805090825</v>
      </c>
      <c r="F38" s="34">
        <f>'Budget &amp; Reforecast'!$C$13+('Budget &amp; Reforecast'!$C$4*(1+$A38)*(1-'Budget &amp; Reforecast'!$C$7-'Budget &amp; Reforecast'!$C$9-F$35)-'Budget &amp; Reforecast'!$C$10)*(1-25.5%)</f>
        <v>1109.8119461880199</v>
      </c>
    </row>
    <row r="39" spans="1:6" ht="16.95" customHeight="1">
      <c r="A39" s="59">
        <v>0.02</v>
      </c>
      <c r="B39" s="34">
        <f>'Budget &amp; Reforecast'!$C$13+('Budget &amp; Reforecast'!$C$4*(1+$A39)*(1-'Budget &amp; Reforecast'!$C$7-'Budget &amp; Reforecast'!$C$9-B$35)-'Budget &amp; Reforecast'!$C$10)*(1-25.5%)</f>
        <v>1263.117444496555</v>
      </c>
      <c r="C39" s="34">
        <f>'Budget &amp; Reforecast'!$C$13+('Budget &amp; Reforecast'!$C$4*(1+$A39)*(1-'Budget &amp; Reforecast'!$C$7-'Budget &amp; Reforecast'!$C$9-C$35)-'Budget &amp; Reforecast'!$C$10)*(1-25.5%)</f>
        <v>1232.8831814890711</v>
      </c>
      <c r="D39" s="34">
        <f>'Budget &amp; Reforecast'!$C$13+('Budget &amp; Reforecast'!$C$4*(1+$A39)*(1-'Budget &amp; Reforecast'!$C$7-'Budget &amp; Reforecast'!$C$9-D$35)-'Budget &amp; Reforecast'!$C$10)*(1-25.5%)</f>
        <v>1202.6489184815873</v>
      </c>
      <c r="E39" s="34">
        <f>'Budget &amp; Reforecast'!$C$13+('Budget &amp; Reforecast'!$C$4*(1+$A39)*(1-'Budget &amp; Reforecast'!$C$7-'Budget &amp; Reforecast'!$C$9-E$35)-'Budget &amp; Reforecast'!$C$10)*(1-25.5%)</f>
        <v>1172.4146554741039</v>
      </c>
      <c r="F39" s="34">
        <f>'Budget &amp; Reforecast'!$C$13+('Budget &amp; Reforecast'!$C$4*(1+$A39)*(1-'Budget &amp; Reforecast'!$C$7-'Budget &amp; Reforecast'!$C$9-F$35)-'Budget &amp; Reforecast'!$C$10)*(1-25.5%)</f>
        <v>1142.1803924666201</v>
      </c>
    </row>
    <row r="40" spans="1:6" ht="16.95" customHeight="1">
      <c r="A40" s="59">
        <v>0.04</v>
      </c>
      <c r="B40" s="34">
        <f>'Budget &amp; Reforecast'!$C$13+('Budget &amp; Reforecast'!$C$4*(1+$A40)*(1-'Budget &amp; Reforecast'!$C$7-'Budget &amp; Reforecast'!$C$9-B$35)-'Budget &amp; Reforecast'!$C$10)*(1-25.5%)</f>
        <v>1297.8572055208404</v>
      </c>
      <c r="C40" s="34">
        <f>'Budget &amp; Reforecast'!$C$13+('Budget &amp; Reforecast'!$C$4*(1+$A40)*(1-'Budget &amp; Reforecast'!$C$7-'Budget &amp; Reforecast'!$C$9-C$35)-'Budget &amp; Reforecast'!$C$10)*(1-25.5%)</f>
        <v>1267.0301138269353</v>
      </c>
      <c r="D40" s="34">
        <f>'Budget &amp; Reforecast'!$C$13+('Budget &amp; Reforecast'!$C$4*(1+$A40)*(1-'Budget &amp; Reforecast'!$C$7-'Budget &amp; Reforecast'!$C$9-D$35)-'Budget &amp; Reforecast'!$C$10)*(1-25.5%)</f>
        <v>1236.2030221330303</v>
      </c>
      <c r="E40" s="34">
        <f>'Budget &amp; Reforecast'!$C$13+('Budget &amp; Reforecast'!$C$4*(1+$A40)*(1-'Budget &amp; Reforecast'!$C$7-'Budget &amp; Reforecast'!$C$9-E$35)-'Budget &amp; Reforecast'!$C$10)*(1-25.5%)</f>
        <v>1205.3759304391253</v>
      </c>
      <c r="F40" s="34">
        <f>'Budget &amp; Reforecast'!$C$13+('Budget &amp; Reforecast'!$C$4*(1+$A40)*(1-'Budget &amp; Reforecast'!$C$7-'Budget &amp; Reforecast'!$C$9-F$35)-'Budget &amp; Reforecast'!$C$10)*(1-25.5%)</f>
        <v>1174.5488387452203</v>
      </c>
    </row>
    <row r="41" spans="1:6">
      <c r="B41" s="5"/>
      <c r="C41" s="5"/>
      <c r="D41" s="5"/>
      <c r="E41" s="5"/>
    </row>
    <row r="43" spans="1:6">
      <c r="B43" s="5"/>
      <c r="C43" s="5"/>
      <c r="D43" s="5"/>
      <c r="E43" s="5"/>
    </row>
    <row r="45" spans="1:6">
      <c r="B45" s="5"/>
      <c r="C45" s="5"/>
      <c r="D45" s="5"/>
      <c r="E45" s="5"/>
    </row>
    <row r="46" spans="1:6">
      <c r="B46" s="5"/>
      <c r="C46" s="5"/>
      <c r="D46" s="5"/>
      <c r="E46" s="5"/>
    </row>
    <row r="50" spans="2:5">
      <c r="B50" s="5"/>
      <c r="C50" s="5"/>
      <c r="D50" s="5"/>
      <c r="E50" s="5"/>
    </row>
    <row r="51" spans="2:5">
      <c r="B51" s="5"/>
      <c r="C51" s="5"/>
      <c r="D51" s="5"/>
      <c r="E51" s="5"/>
    </row>
    <row r="52" spans="2:5">
      <c r="B52" s="5"/>
      <c r="C52" s="5"/>
      <c r="D52" s="5"/>
      <c r="E52" s="5"/>
    </row>
    <row r="53" spans="2:5">
      <c r="B53" s="5"/>
      <c r="C53" s="5"/>
      <c r="D53" s="5"/>
      <c r="E53" s="5"/>
    </row>
    <row r="54" spans="2:5">
      <c r="B54" s="5"/>
      <c r="C54" s="5"/>
      <c r="D54" s="5"/>
      <c r="E54" s="5"/>
    </row>
    <row r="55" spans="2:5">
      <c r="B55" s="5"/>
      <c r="C55" s="5"/>
      <c r="D55" s="5"/>
      <c r="E55" s="5"/>
    </row>
    <row r="56" spans="2:5">
      <c r="B56" s="5"/>
      <c r="C56" s="5"/>
      <c r="D56" s="5"/>
      <c r="E56" s="5"/>
    </row>
    <row r="57" spans="2:5">
      <c r="B57" s="5"/>
      <c r="C57" s="5"/>
      <c r="D57" s="5"/>
      <c r="E57" s="5"/>
    </row>
    <row r="60" spans="2:5">
      <c r="B60" s="5"/>
      <c r="C60" s="5"/>
      <c r="D60" s="5"/>
      <c r="E60" s="5"/>
    </row>
    <row r="61" spans="2:5">
      <c r="B61" s="5"/>
      <c r="C61" s="5"/>
      <c r="D61" s="5"/>
      <c r="E61" s="5"/>
    </row>
  </sheetData>
  <mergeCells count="2">
    <mergeCell ref="A1:E1"/>
    <mergeCell ref="F1:J1"/>
  </mergeCells>
  <dataValidations count="2">
    <dataValidation type="list" allowBlank="1" showInputMessage="1" showErrorMessage="1" sqref="G4" xr:uid="{CAF7471F-60D2-4F7B-83FF-D9F26F80FC20}">
      <formula1>$B$4:$D$4</formula1>
    </dataValidation>
    <dataValidation type="list" allowBlank="1" showInputMessage="1" showErrorMessage="1" sqref="B10" xr:uid="{E7F1DC81-B0C9-451F-BB6F-46D2FC1F63D2}">
      <formula1>$B$3:$D$3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81FA-101E-4806-82E0-BF0D301E7E78}">
  <dimension ref="A1:J43"/>
  <sheetViews>
    <sheetView showGridLines="0" tabSelected="1" topLeftCell="A19" zoomScale="71" zoomScaleNormal="70" workbookViewId="0">
      <selection activeCell="H9" sqref="H9"/>
    </sheetView>
  </sheetViews>
  <sheetFormatPr defaultRowHeight="14.4"/>
  <cols>
    <col min="1" max="1" width="48.5546875" bestFit="1" customWidth="1"/>
    <col min="2" max="6" width="12" bestFit="1" customWidth="1"/>
  </cols>
  <sheetData>
    <row r="1" spans="1:7" ht="36" customHeight="1">
      <c r="A1" s="65" t="s">
        <v>190</v>
      </c>
      <c r="B1" s="65"/>
      <c r="C1" s="65"/>
      <c r="D1" s="65"/>
      <c r="E1" s="65"/>
    </row>
    <row r="2" spans="1:7">
      <c r="A2" s="3"/>
    </row>
    <row r="3" spans="1:7" ht="24" customHeight="1">
      <c r="A3" s="13" t="s">
        <v>60</v>
      </c>
      <c r="B3" s="12" t="s">
        <v>5</v>
      </c>
      <c r="C3" s="12" t="s">
        <v>6</v>
      </c>
      <c r="D3" s="13" t="s">
        <v>7</v>
      </c>
      <c r="E3" s="13" t="s">
        <v>8</v>
      </c>
    </row>
    <row r="4" spans="1:7" ht="16.95" customHeight="1">
      <c r="A4" s="26" t="s">
        <v>97</v>
      </c>
      <c r="B4" s="26">
        <f>'Budget &amp; Reforecast'!C12</f>
        <v>1762.4757850069057</v>
      </c>
      <c r="C4" s="26">
        <f>'Budget &amp; Reforecast'!D12</f>
        <v>1906.7996507878111</v>
      </c>
      <c r="D4" s="26">
        <f>'Budget &amp; Reforecast'!E12</f>
        <v>2053.9537358379425</v>
      </c>
      <c r="E4" s="26">
        <f>'Budget &amp; Reforecast'!F12</f>
        <v>2205.8382094617486</v>
      </c>
    </row>
    <row r="5" spans="1:7" ht="16.95" customHeight="1">
      <c r="A5" s="26" t="s">
        <v>101</v>
      </c>
      <c r="B5" s="38">
        <v>0.255</v>
      </c>
      <c r="C5" s="38">
        <f>B5</f>
        <v>0.255</v>
      </c>
      <c r="D5" s="38">
        <f>B5</f>
        <v>0.255</v>
      </c>
      <c r="E5" s="38">
        <f>B5</f>
        <v>0.255</v>
      </c>
    </row>
    <row r="6" spans="1:7" ht="16.95" customHeight="1">
      <c r="A6" s="26" t="s">
        <v>191</v>
      </c>
      <c r="B6" s="26">
        <f>B4*(1-B5)</f>
        <v>1313.0444598301447</v>
      </c>
      <c r="C6" s="26">
        <f>C4*(1-C5)</f>
        <v>1420.5657398369192</v>
      </c>
      <c r="D6" s="26">
        <f>D4*(1-D5)</f>
        <v>1530.1955331992672</v>
      </c>
      <c r="E6" s="26">
        <f>E4*(1-E5)</f>
        <v>1643.3494660490028</v>
      </c>
    </row>
    <row r="7" spans="1:7" ht="16.95" customHeight="1">
      <c r="A7" s="26" t="s">
        <v>49</v>
      </c>
      <c r="B7" s="26">
        <f>'Budget &amp; Reforecast'!C10-'Budget &amp; Reforecast'!C12</f>
        <v>489.47748019059304</v>
      </c>
      <c r="C7" s="26">
        <f>'Budget &amp; Reforecast'!D10-'Budget &amp; Reforecast'!D12</f>
        <v>516.95457199136217</v>
      </c>
      <c r="D7" s="26">
        <f>'Budget &amp; Reforecast'!E10-'Budget &amp; Reforecast'!E12</f>
        <v>549.522710026818</v>
      </c>
      <c r="E7" s="26">
        <f>'Budget &amp; Reforecast'!F10-'Budget &amp; Reforecast'!F12</f>
        <v>582.49407262842715</v>
      </c>
    </row>
    <row r="8" spans="1:7" ht="16.95" customHeight="1">
      <c r="A8" s="26" t="s">
        <v>221</v>
      </c>
      <c r="B8" s="26">
        <f>'PP&amp;E &amp; Capex'!F6+'Historical &amp; Assumptions'!$E$41*1.05^B12</f>
        <v>338.40529332749998</v>
      </c>
      <c r="C8" s="26">
        <f>'PP&amp;E &amp; Capex'!G6+'Historical &amp; Assumptions'!$E$41*1.05^C12</f>
        <v>360.47355189378743</v>
      </c>
      <c r="D8" s="26">
        <f>'PP&amp;E &amp; Capex'!H6+'Historical &amp; Assumptions'!$E$41*1.05^D12</f>
        <v>374.14843359601798</v>
      </c>
      <c r="E8" s="26">
        <f>'PP&amp;E &amp; Capex'!I6+'Historical &amp; Assumptions'!$E$41*1.05^E12</f>
        <v>396.76125209224097</v>
      </c>
    </row>
    <row r="9" spans="1:7" ht="16.95" customHeight="1">
      <c r="A9" s="26" t="s">
        <v>87</v>
      </c>
      <c r="B9" s="26">
        <f>'Working Capital &amp; Financing'!F10</f>
        <v>757.28301661532862</v>
      </c>
      <c r="C9" s="26">
        <f>'Working Capital &amp; Financing'!G10</f>
        <v>778.73787231040342</v>
      </c>
      <c r="D9" s="26">
        <f>'Working Capital &amp; Financing'!H10</f>
        <v>784.41482520404873</v>
      </c>
      <c r="E9" s="26">
        <f>'Working Capital &amp; Financing'!I10</f>
        <v>800.36376674065036</v>
      </c>
    </row>
    <row r="10" spans="1:7" ht="16.95" customHeight="1">
      <c r="A10" s="26" t="s">
        <v>192</v>
      </c>
      <c r="B10" s="26">
        <f>B9-'Working Capital &amp; Financing'!E10</f>
        <v>77.374016615328742</v>
      </c>
      <c r="C10" s="26">
        <f>C9-B9</f>
        <v>21.454855695074798</v>
      </c>
      <c r="D10" s="26">
        <f>D9-C9</f>
        <v>5.6769528936453071</v>
      </c>
      <c r="E10" s="26">
        <f>E9-D9</f>
        <v>15.948941536601637</v>
      </c>
    </row>
    <row r="11" spans="1:7" s="3" customFormat="1" ht="16.95" customHeight="1">
      <c r="A11" s="37" t="s">
        <v>223</v>
      </c>
      <c r="B11" s="37">
        <f>B6+B7-B8-B10</f>
        <v>1386.7426300779089</v>
      </c>
      <c r="C11" s="37">
        <f>C6+C7-C8-C10</f>
        <v>1555.5919042394189</v>
      </c>
      <c r="D11" s="37">
        <f>D6+D7-D8-D10</f>
        <v>1699.8928567364219</v>
      </c>
      <c r="E11" s="37">
        <f>E6+E7-E8-E10</f>
        <v>1813.1333450485872</v>
      </c>
    </row>
    <row r="12" spans="1:7" ht="16.95" customHeight="1">
      <c r="A12" s="26" t="s">
        <v>193</v>
      </c>
      <c r="B12" s="26">
        <v>1</v>
      </c>
      <c r="C12" s="26">
        <v>2</v>
      </c>
      <c r="D12" s="26">
        <v>3</v>
      </c>
      <c r="E12" s="26">
        <v>4</v>
      </c>
      <c r="G12" s="58"/>
    </row>
    <row r="13" spans="1:7" ht="16.95" customHeight="1">
      <c r="A13" s="26" t="s">
        <v>194</v>
      </c>
      <c r="B13" s="38">
        <v>0.09</v>
      </c>
      <c r="C13" s="38">
        <f>$B$13</f>
        <v>0.09</v>
      </c>
      <c r="D13" s="38">
        <f>$B$13</f>
        <v>0.09</v>
      </c>
      <c r="E13" s="38">
        <f>$B$13</f>
        <v>0.09</v>
      </c>
    </row>
    <row r="14" spans="1:7" ht="16.95" customHeight="1">
      <c r="A14" s="26" t="s">
        <v>195</v>
      </c>
      <c r="B14" s="26">
        <f>1/(1+B13)^B12</f>
        <v>0.9174311926605504</v>
      </c>
      <c r="C14" s="26">
        <f>1/(1+C13)^C12</f>
        <v>0.84167999326655996</v>
      </c>
      <c r="D14" s="26">
        <f>1/(1+D13)^D12</f>
        <v>0.77218348006106419</v>
      </c>
      <c r="E14" s="26">
        <f>1/(1+E13)^E12</f>
        <v>0.7084252110651964</v>
      </c>
    </row>
    <row r="15" spans="1:7" ht="16.95" customHeight="1">
      <c r="A15" s="26" t="s">
        <v>196</v>
      </c>
      <c r="B15" s="26">
        <f>B11*B14</f>
        <v>1272.2409450256043</v>
      </c>
      <c r="C15" s="26">
        <f>C11*C14</f>
        <v>1309.3105834857492</v>
      </c>
      <c r="D15" s="26">
        <f>D11*D14</f>
        <v>1312.6291818456743</v>
      </c>
      <c r="E15" s="26">
        <f>E11*E14</f>
        <v>1284.469372655391</v>
      </c>
    </row>
    <row r="17" spans="1:2" ht="24" customHeight="1">
      <c r="A17" s="13" t="s">
        <v>197</v>
      </c>
      <c r="B17" s="13"/>
    </row>
    <row r="18" spans="1:2" ht="16.95" customHeight="1">
      <c r="A18" s="26" t="s">
        <v>198</v>
      </c>
      <c r="B18" s="38">
        <v>2.5000000000000001E-2</v>
      </c>
    </row>
    <row r="19" spans="1:2" ht="16.95" customHeight="1">
      <c r="A19" s="26" t="s">
        <v>199</v>
      </c>
      <c r="B19" s="26">
        <f>E11*(1+B18)</f>
        <v>1858.4616786748018</v>
      </c>
    </row>
    <row r="20" spans="1:2" ht="16.95" customHeight="1">
      <c r="A20" s="26" t="s">
        <v>200</v>
      </c>
      <c r="B20" s="26">
        <f>B19/(B13-B18)</f>
        <v>28591.718133458489</v>
      </c>
    </row>
    <row r="21" spans="1:2" ht="16.95" customHeight="1">
      <c r="A21" s="26" t="s">
        <v>201</v>
      </c>
      <c r="B21" s="26">
        <f>B20*E14</f>
        <v>20255.093953411935</v>
      </c>
    </row>
    <row r="23" spans="1:2" ht="24" customHeight="1">
      <c r="A23" s="13" t="s">
        <v>202</v>
      </c>
      <c r="B23" s="13"/>
    </row>
    <row r="24" spans="1:2" ht="16.95" customHeight="1">
      <c r="A24" s="26" t="s">
        <v>203</v>
      </c>
      <c r="B24" s="26">
        <f>SUM(B15:E15)</f>
        <v>5178.6500830124187</v>
      </c>
    </row>
    <row r="25" spans="1:2" ht="16.95" customHeight="1">
      <c r="A25" s="26" t="s">
        <v>201</v>
      </c>
      <c r="B25" s="26">
        <f>B21</f>
        <v>20255.093953411935</v>
      </c>
    </row>
    <row r="26" spans="1:2" s="3" customFormat="1" ht="16.95" customHeight="1">
      <c r="A26" s="37" t="s">
        <v>204</v>
      </c>
      <c r="B26" s="37">
        <f>B24+B25</f>
        <v>25433.744036424352</v>
      </c>
    </row>
    <row r="27" spans="1:2" ht="16.95" customHeight="1">
      <c r="A27" s="26" t="s">
        <v>205</v>
      </c>
      <c r="B27" s="26">
        <f>'Historical &amp; Assumptions'!E26</f>
        <v>331.56900000000002</v>
      </c>
    </row>
    <row r="28" spans="1:2" ht="16.95" customHeight="1">
      <c r="A28" s="26" t="s">
        <v>206</v>
      </c>
      <c r="B28" s="26">
        <f>'Historical &amp; Assumptions'!E34</f>
        <v>2625.1210000000001</v>
      </c>
    </row>
    <row r="29" spans="1:2" ht="16.95" customHeight="1">
      <c r="A29" s="26" t="s">
        <v>207</v>
      </c>
      <c r="B29" s="26">
        <f>'Historical &amp; Assumptions'!E35</f>
        <v>2770.473</v>
      </c>
    </row>
    <row r="30" spans="1:2" ht="16.95" customHeight="1">
      <c r="A30" s="26" t="s">
        <v>208</v>
      </c>
      <c r="B30" s="26">
        <f>B26+B27-B28-B29</f>
        <v>20369.719036424351</v>
      </c>
    </row>
    <row r="31" spans="1:2" ht="16.95" customHeight="1">
      <c r="A31" s="26" t="s">
        <v>209</v>
      </c>
      <c r="B31" s="26">
        <f>B25/B26</f>
        <v>0.79638663990657721</v>
      </c>
    </row>
    <row r="33" spans="1:10" ht="24" customHeight="1">
      <c r="A33" s="13" t="s">
        <v>210</v>
      </c>
      <c r="B33" s="12"/>
      <c r="C33" s="12"/>
      <c r="D33" s="13"/>
      <c r="E33" s="13"/>
      <c r="F33" s="13"/>
      <c r="G33" s="57"/>
      <c r="H33" s="57"/>
      <c r="I33" s="56"/>
      <c r="J33" s="56"/>
    </row>
    <row r="34" spans="1:10" ht="16.95" customHeight="1">
      <c r="A34" s="26" t="s">
        <v>211</v>
      </c>
      <c r="B34" s="38">
        <v>1.4999999999999999E-2</v>
      </c>
      <c r="C34" s="38">
        <v>0.02</v>
      </c>
      <c r="D34" s="38">
        <v>2.5000000000000001E-2</v>
      </c>
      <c r="E34" s="38">
        <v>0.03</v>
      </c>
      <c r="F34" s="38">
        <v>3.5000000000000003E-2</v>
      </c>
    </row>
    <row r="35" spans="1:10" ht="16.95" customHeight="1">
      <c r="A35" s="61">
        <v>7.0000000000000007E-2</v>
      </c>
      <c r="B35" s="26" cm="1">
        <f t="array" ref="B35">SUMPRODUCT($B$11:$E$11,1/(1+$A35)^$B$12:$E$12)+($E$11*(1+B$34)/($A35-B$34))/(1+$A35)^4+$B$27-$B$28-$B$29</f>
        <v>25888.45475011001</v>
      </c>
      <c r="C35" s="26" cm="1">
        <f t="array" ref="C35">SUMPRODUCT($B$11:$E$11,1/(1+$A35)^$B$12:$E$12)+($E$11*(1+C$34)/($A35-C$34))/(1+$A35)^4+$B$27-$B$28-$B$29</f>
        <v>28579.467295715775</v>
      </c>
      <c r="D35" s="26" cm="1">
        <f t="array" ref="D35">SUMPRODUCT($B$11:$E$11,1/(1+$A35)^$B$12:$E$12)+($E$11*(1+D$34)/($A35-D$34))/(1+$A35)^4+$B$27-$B$28-$B$29</f>
        <v>31868.482629233928</v>
      </c>
      <c r="E35" s="26" cm="1">
        <f t="array" ref="E35">SUMPRODUCT($B$11:$E$11,1/(1+$A35)^$B$12:$E$12)+($E$11*(1+E$34)/($A35-E$34))/(1+$A35)^4+$B$27-$B$28-$B$29</f>
        <v>35979.751796131633</v>
      </c>
      <c r="F35" s="26" cm="1">
        <f t="array" ref="F35">SUMPRODUCT($B$11:$E$11,1/(1+$A35)^$B$12:$E$12)+($E$11*(1+F$34)/($A35-F$34))/(1+$A35)^4+$B$27-$B$28-$B$29</f>
        <v>41265.669296428663</v>
      </c>
    </row>
    <row r="36" spans="1:10" ht="16.95" customHeight="1">
      <c r="A36" s="61">
        <v>0.08</v>
      </c>
      <c r="B36" s="26" cm="1">
        <f t="array" ref="B36">SUMPRODUCT($B$11:$E$11,1/(1+$A36)^$B$12:$E$12)+($E$11*(1+B$34)/($A36-B$34))/(1+$A36)^4+$B$27-$B$28-$B$29</f>
        <v>21046.536677297277</v>
      </c>
      <c r="C36" s="26" cm="1">
        <f t="array" ref="C36">SUMPRODUCT($B$11:$E$11,1/(1+$A36)^$B$12:$E$12)+($E$11*(1+C$34)/($A36-C$34))/(1+$A36)^4+$B$27-$B$28-$B$29</f>
        <v>22891.823480589992</v>
      </c>
      <c r="D36" s="26" cm="1">
        <f t="array" ref="D36">SUMPRODUCT($B$11:$E$11,1/(1+$A36)^$B$12:$E$12)+($E$11*(1+D$34)/($A36-D$34))/(1+$A36)^4+$B$27-$B$28-$B$29</f>
        <v>25072.616975390469</v>
      </c>
      <c r="E36" s="26" cm="1">
        <f t="array" ref="E36">SUMPRODUCT($B$11:$E$11,1/(1+$A36)^$B$12:$E$12)+($E$11*(1+E$34)/($A36-E$34))/(1+$A36)^4+$B$27-$B$28-$B$29</f>
        <v>27689.569169151051</v>
      </c>
      <c r="F36" s="26" cm="1">
        <f t="array" ref="F36">SUMPRODUCT($B$11:$E$11,1/(1+$A36)^$B$12:$E$12)+($E$11*(1+F$34)/($A36-F$34))/(1+$A36)^4+$B$27-$B$28-$B$29</f>
        <v>30888.066294858421</v>
      </c>
    </row>
    <row r="37" spans="1:10" ht="16.95" customHeight="1">
      <c r="A37" s="61">
        <v>0.09</v>
      </c>
      <c r="B37" s="26" cm="1">
        <f t="array" ref="B37">SUMPRODUCT($B$11:$E$11,1/(1+$A37)^$B$12:$E$12)+($E$11*(1+B$34)/($A37-B$34))/(1+$A37)^4+$B$27-$B$28-$B$29</f>
        <v>17497.777259615374</v>
      </c>
      <c r="C37" s="26" cm="1">
        <f t="array" ref="C37">SUMPRODUCT($B$11:$E$11,1/(1+$A37)^$B$12:$E$12)+($E$11*(1+C$34)/($A37-C$34))/(1+$A37)^4+$B$27-$B$28-$B$29</f>
        <v>18831.178798848116</v>
      </c>
      <c r="D37" s="26" cm="1">
        <f t="array" ref="D37">SUMPRODUCT($B$11:$E$11,1/(1+$A37)^$B$12:$E$12)+($E$11*(1+D$34)/($A37-D$34))/(1+$A37)^4+$B$27-$B$28-$B$29</f>
        <v>20369.719036424351</v>
      </c>
      <c r="E37" s="26" cm="1">
        <f t="array" ref="E37">SUMPRODUCT($B$11:$E$11,1/(1+$A37)^$B$12:$E$12)+($E$11*(1+E$34)/($A37-E$34))/(1+$A37)^4+$B$27-$B$28-$B$29</f>
        <v>22164.682646929963</v>
      </c>
      <c r="F37" s="26" cm="1">
        <f t="array" ref="F37">SUMPRODUCT($B$11:$E$11,1/(1+$A37)^$B$12:$E$12)+($E$11*(1+F$34)/($A37-F$34))/(1+$A37)^4+$B$27-$B$28-$B$29</f>
        <v>24286.00327752751</v>
      </c>
    </row>
    <row r="38" spans="1:10" ht="16.95" customHeight="1">
      <c r="A38" s="61">
        <v>0.1</v>
      </c>
      <c r="B38" s="26" cm="1">
        <f t="array" ref="B38">SUMPRODUCT($B$11:$E$11,1/(1+$A38)^$B$12:$E$12)+($E$11*(1+B$34)/($A38-B$34))/(1+$A38)^4+$B$27-$B$28-$B$29</f>
        <v>14785.699315384993</v>
      </c>
      <c r="C38" s="26" cm="1">
        <f t="array" ref="C38">SUMPRODUCT($B$11:$E$11,1/(1+$A38)^$B$12:$E$12)+($E$11*(1+C$34)/($A38-C$34))/(1+$A38)^4+$B$27-$B$28-$B$29</f>
        <v>15787.341902254984</v>
      </c>
      <c r="D38" s="26" cm="1">
        <f t="array" ref="D38">SUMPRODUCT($B$11:$E$11,1/(1+$A38)^$B$12:$E$12)+($E$11*(1+D$34)/($A38-D$34))/(1+$A38)^4+$B$27-$B$28-$B$29</f>
        <v>16922.53683404097</v>
      </c>
      <c r="E38" s="26" cm="1">
        <f t="array" ref="E38">SUMPRODUCT($B$11:$E$11,1/(1+$A38)^$B$12:$E$12)+($E$11*(1+E$34)/($A38-E$34))/(1+$A38)^4+$B$27-$B$28-$B$29</f>
        <v>18219.902470367822</v>
      </c>
      <c r="F38" s="26" cm="1">
        <f t="array" ref="F38">SUMPRODUCT($B$11:$E$11,1/(1+$A38)^$B$12:$E$12)+($E$11*(1+F$34)/($A38-F$34))/(1+$A38)^4+$B$27-$B$28-$B$29</f>
        <v>19716.862819975722</v>
      </c>
    </row>
    <row r="39" spans="1:10" ht="16.95" customHeight="1">
      <c r="A39" s="61">
        <v>0.11</v>
      </c>
      <c r="B39" s="26" cm="1">
        <f t="array" ref="B39">SUMPRODUCT($B$11:$E$11,1/(1+$A39)^$B$12:$E$12)+($E$11*(1+B$34)/($A39-B$34))/(1+$A39)^4+$B$27-$B$28-$B$29</f>
        <v>12646.029556651129</v>
      </c>
      <c r="C39" s="26" cm="1">
        <f t="array" ref="C39">SUMPRODUCT($B$11:$E$11,1/(1+$A39)^$B$12:$E$12)+($E$11*(1+C$34)/($A39-C$34))/(1+$A39)^4+$B$27-$B$28-$B$29</f>
        <v>13421.320477732354</v>
      </c>
      <c r="D39" s="26" cm="1">
        <f t="array" ref="D39">SUMPRODUCT($B$11:$E$11,1/(1+$A39)^$B$12:$E$12)+($E$11*(1+D$34)/($A39-D$34))/(1+$A39)^4+$B$27-$B$28-$B$29</f>
        <v>14287.822095411366</v>
      </c>
      <c r="E39" s="26" cm="1">
        <f t="array" ref="E39">SUMPRODUCT($B$11:$E$11,1/(1+$A39)^$B$12:$E$12)+($E$11*(1+E$34)/($A39-E$34))/(1+$A39)^4+$B$27-$B$28-$B$29</f>
        <v>15262.636415300252</v>
      </c>
      <c r="F39" s="26" cm="1">
        <f t="array" ref="F39">SUMPRODUCT($B$11:$E$11,1/(1+$A39)^$B$12:$E$12)+($E$11*(1+F$34)/($A39-F$34))/(1+$A39)^4+$B$27-$B$28-$B$29</f>
        <v>16367.425977840992</v>
      </c>
    </row>
    <row r="41" spans="1:10" ht="24" customHeight="1">
      <c r="A41" s="13" t="s">
        <v>58</v>
      </c>
      <c r="B41" s="12"/>
      <c r="C41" s="57"/>
      <c r="D41" s="56"/>
      <c r="E41" s="56"/>
      <c r="F41" s="56"/>
      <c r="G41" s="57"/>
      <c r="H41" s="57"/>
      <c r="I41" s="56"/>
      <c r="J41" s="56"/>
    </row>
    <row r="42" spans="1:10" ht="16.95" customHeight="1">
      <c r="A42" s="26" t="s">
        <v>212</v>
      </c>
      <c r="B42" s="38">
        <f>B13-B18</f>
        <v>6.5000000000000002E-2</v>
      </c>
    </row>
    <row r="43" spans="1:10" ht="16.95" customHeight="1">
      <c r="A43" s="26" t="s">
        <v>213</v>
      </c>
      <c r="B43" s="26">
        <f>B24/B26</f>
        <v>0.2036133600934229</v>
      </c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B7FCE-6C18-4E75-AD8F-5FF40BEA4F1D}">
  <dimension ref="A1"/>
  <sheetViews>
    <sheetView topLeftCell="A19" workbookViewId="0">
      <selection activeCell="D36" sqref="D36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Executive Summary</vt:lpstr>
      <vt:lpstr>Historical &amp; Assumptions</vt:lpstr>
      <vt:lpstr>Operating Drivers</vt:lpstr>
      <vt:lpstr>Revenue</vt:lpstr>
      <vt:lpstr>Operating Model</vt:lpstr>
      <vt:lpstr>PP&amp;E &amp; Capex</vt:lpstr>
      <vt:lpstr>Working Capital &amp; Financing</vt:lpstr>
      <vt:lpstr>P &amp; L</vt:lpstr>
      <vt:lpstr>Balance Sheet</vt:lpstr>
      <vt:lpstr>Cash Flow Statement</vt:lpstr>
      <vt:lpstr>Budget &amp; Reforecast</vt:lpstr>
      <vt:lpstr>Variance &amp; PVM</vt:lpstr>
      <vt:lpstr>Scenario &amp; Sensitivity </vt:lpstr>
      <vt:lpstr>DCF Valuation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Ezio Yan</dc:creator>
  <cp:lastModifiedBy>Ezio Yan</cp:lastModifiedBy>
  <dcterms:created xsi:type="dcterms:W3CDTF">2026-10-05T23:03:54Z</dcterms:created>
  <dcterms:modified xsi:type="dcterms:W3CDTF">2026-10-19T00:09:55Z</dcterms:modified>
</cp:coreProperties>
</file>